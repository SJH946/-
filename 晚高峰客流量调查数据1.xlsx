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公共交通课程设计\ggjt\"/>
    </mc:Choice>
  </mc:AlternateContent>
  <xr:revisionPtr revIDLastSave="0" documentId="13_ncr:1_{755F7DD5-00EE-4402-96B1-82EA2573EBD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K20" i="1"/>
  <c r="E20" i="1"/>
  <c r="F20" i="1"/>
  <c r="M220" i="1"/>
  <c r="J166" i="1"/>
  <c r="D61" i="1"/>
  <c r="D56" i="1"/>
  <c r="D55" i="1"/>
  <c r="D53" i="1"/>
  <c r="D52" i="1"/>
  <c r="D50" i="1"/>
  <c r="D48" i="1"/>
  <c r="D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47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6" i="1"/>
  <c r="C27" i="1"/>
  <c r="C28" i="1"/>
  <c r="C29" i="1"/>
  <c r="C30" i="1"/>
  <c r="C31" i="1"/>
  <c r="C32" i="1"/>
  <c r="C33" i="1"/>
  <c r="C34" i="1"/>
  <c r="C35" i="1"/>
  <c r="C36" i="1"/>
  <c r="C37" i="1"/>
  <c r="C39" i="1"/>
  <c r="C40" i="1"/>
  <c r="C26" i="1"/>
  <c r="H193" i="1" l="1"/>
  <c r="H186" i="1"/>
  <c r="G185" i="1"/>
  <c r="H178" i="1"/>
  <c r="H170" i="1"/>
  <c r="H166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J145" i="1" s="1"/>
  <c r="J146" i="1" s="1"/>
  <c r="I140" i="1"/>
  <c r="H140" i="1"/>
  <c r="I139" i="1"/>
  <c r="H139" i="1"/>
  <c r="I138" i="1"/>
  <c r="H138" i="1"/>
  <c r="I137" i="1"/>
  <c r="H137" i="1"/>
  <c r="I136" i="1"/>
  <c r="H136" i="1"/>
  <c r="I135" i="1"/>
  <c r="H135" i="1"/>
  <c r="H134" i="1"/>
  <c r="I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J126" i="1" s="1"/>
  <c r="I82" i="1"/>
  <c r="H198" i="1" s="1"/>
  <c r="H82" i="1"/>
  <c r="G198" i="1" s="1"/>
  <c r="D82" i="1"/>
  <c r="H180" i="1" s="1"/>
  <c r="C82" i="1"/>
  <c r="G180" i="1" s="1"/>
  <c r="I81" i="1"/>
  <c r="H197" i="1" s="1"/>
  <c r="H81" i="1"/>
  <c r="G197" i="1" s="1"/>
  <c r="D81" i="1"/>
  <c r="H179" i="1" s="1"/>
  <c r="C81" i="1"/>
  <c r="G179" i="1" s="1"/>
  <c r="I80" i="1"/>
  <c r="H196" i="1" s="1"/>
  <c r="H80" i="1"/>
  <c r="G196" i="1" s="1"/>
  <c r="D80" i="1"/>
  <c r="C80" i="1"/>
  <c r="G178" i="1" s="1"/>
  <c r="I178" i="1" s="1"/>
  <c r="I79" i="1"/>
  <c r="H195" i="1" s="1"/>
  <c r="H79" i="1"/>
  <c r="G195" i="1" s="1"/>
  <c r="I195" i="1" s="1"/>
  <c r="D79" i="1"/>
  <c r="H177" i="1" s="1"/>
  <c r="C79" i="1"/>
  <c r="G177" i="1" s="1"/>
  <c r="I78" i="1"/>
  <c r="H194" i="1" s="1"/>
  <c r="H78" i="1"/>
  <c r="G194" i="1" s="1"/>
  <c r="D78" i="1"/>
  <c r="H176" i="1" s="1"/>
  <c r="C78" i="1"/>
  <c r="G176" i="1" s="1"/>
  <c r="I77" i="1"/>
  <c r="H77" i="1"/>
  <c r="G193" i="1" s="1"/>
  <c r="I193" i="1" s="1"/>
  <c r="D77" i="1"/>
  <c r="H175" i="1" s="1"/>
  <c r="C77" i="1"/>
  <c r="G175" i="1" s="1"/>
  <c r="I76" i="1"/>
  <c r="H192" i="1" s="1"/>
  <c r="H76" i="1"/>
  <c r="G192" i="1" s="1"/>
  <c r="C76" i="1"/>
  <c r="G174" i="1" s="1"/>
  <c r="I75" i="1"/>
  <c r="H191" i="1" s="1"/>
  <c r="H75" i="1"/>
  <c r="G191" i="1" s="1"/>
  <c r="I191" i="1" s="1"/>
  <c r="D75" i="1"/>
  <c r="H173" i="1" s="1"/>
  <c r="C75" i="1"/>
  <c r="G173" i="1" s="1"/>
  <c r="I74" i="1"/>
  <c r="H190" i="1" s="1"/>
  <c r="H74" i="1"/>
  <c r="G190" i="1" s="1"/>
  <c r="D74" i="1"/>
  <c r="H172" i="1" s="1"/>
  <c r="C74" i="1"/>
  <c r="G172" i="1" s="1"/>
  <c r="I172" i="1" s="1"/>
  <c r="I73" i="1"/>
  <c r="H189" i="1" s="1"/>
  <c r="H73" i="1"/>
  <c r="G189" i="1" s="1"/>
  <c r="D73" i="1"/>
  <c r="H171" i="1" s="1"/>
  <c r="C73" i="1"/>
  <c r="G171" i="1" s="1"/>
  <c r="I72" i="1"/>
  <c r="H188" i="1" s="1"/>
  <c r="H72" i="1"/>
  <c r="G188" i="1" s="1"/>
  <c r="D72" i="1"/>
  <c r="C72" i="1"/>
  <c r="G170" i="1" s="1"/>
  <c r="I170" i="1" s="1"/>
  <c r="I71" i="1"/>
  <c r="H187" i="1" s="1"/>
  <c r="H71" i="1"/>
  <c r="G187" i="1" s="1"/>
  <c r="D71" i="1"/>
  <c r="H169" i="1" s="1"/>
  <c r="C71" i="1"/>
  <c r="G169" i="1" s="1"/>
  <c r="I70" i="1"/>
  <c r="H70" i="1"/>
  <c r="G186" i="1" s="1"/>
  <c r="I186" i="1" s="1"/>
  <c r="D70" i="1"/>
  <c r="H168" i="1" s="1"/>
  <c r="C70" i="1"/>
  <c r="G168" i="1" s="1"/>
  <c r="I69" i="1"/>
  <c r="H185" i="1" s="1"/>
  <c r="H69" i="1"/>
  <c r="D69" i="1"/>
  <c r="H167" i="1" s="1"/>
  <c r="C69" i="1"/>
  <c r="G167" i="1" s="1"/>
  <c r="I68" i="1"/>
  <c r="H184" i="1" s="1"/>
  <c r="D68" i="1"/>
  <c r="C68" i="1"/>
  <c r="B107" i="1" s="1"/>
  <c r="K62" i="1"/>
  <c r="J62" i="1"/>
  <c r="F62" i="1"/>
  <c r="E62" i="1"/>
  <c r="K41" i="1"/>
  <c r="J41" i="1"/>
  <c r="E41" i="1"/>
  <c r="F41" i="1"/>
  <c r="H68" i="1"/>
  <c r="J147" i="1" l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27" i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I188" i="1"/>
  <c r="I190" i="1"/>
  <c r="I173" i="1"/>
  <c r="I176" i="1"/>
  <c r="I198" i="1"/>
  <c r="I197" i="1"/>
  <c r="I196" i="1"/>
  <c r="I194" i="1"/>
  <c r="I192" i="1"/>
  <c r="I189" i="1"/>
  <c r="I187" i="1"/>
  <c r="I185" i="1"/>
  <c r="I83" i="1"/>
  <c r="I180" i="1"/>
  <c r="I167" i="1"/>
  <c r="I179" i="1"/>
  <c r="I175" i="1"/>
  <c r="I177" i="1"/>
  <c r="G166" i="1"/>
  <c r="I169" i="1"/>
  <c r="I171" i="1"/>
  <c r="H83" i="1"/>
  <c r="G184" i="1"/>
  <c r="F107" i="1"/>
  <c r="B108" i="1"/>
  <c r="K126" i="1"/>
  <c r="I168" i="1"/>
  <c r="C83" i="1"/>
  <c r="D76" i="1"/>
  <c r="H174" i="1" s="1"/>
  <c r="I174" i="1" s="1"/>
  <c r="D83" i="1" l="1"/>
  <c r="I166" i="1"/>
  <c r="F166" i="1"/>
  <c r="B109" i="1"/>
  <c r="K127" i="1"/>
  <c r="F108" i="1"/>
  <c r="K145" i="1"/>
  <c r="I184" i="1"/>
  <c r="F184" i="1"/>
  <c r="N166" i="1" l="1"/>
  <c r="F167" i="1"/>
  <c r="N185" i="1"/>
  <c r="F185" i="1"/>
  <c r="K146" i="1"/>
  <c r="F109" i="1"/>
  <c r="K128" i="1"/>
  <c r="B110" i="1"/>
  <c r="N167" i="1" l="1"/>
  <c r="F168" i="1"/>
  <c r="K129" i="1"/>
  <c r="B111" i="1"/>
  <c r="F110" i="1"/>
  <c r="K147" i="1"/>
  <c r="F186" i="1"/>
  <c r="N186" i="1"/>
  <c r="F169" i="1" l="1"/>
  <c r="N168" i="1"/>
  <c r="K148" i="1"/>
  <c r="F111" i="1"/>
  <c r="K130" i="1"/>
  <c r="B112" i="1"/>
  <c r="N187" i="1"/>
  <c r="F187" i="1"/>
  <c r="N169" i="1" l="1"/>
  <c r="F170" i="1"/>
  <c r="F188" i="1"/>
  <c r="N188" i="1"/>
  <c r="B113" i="1"/>
  <c r="K131" i="1"/>
  <c r="K149" i="1"/>
  <c r="F112" i="1"/>
  <c r="F171" i="1" l="1"/>
  <c r="N170" i="1"/>
  <c r="B114" i="1"/>
  <c r="K132" i="1"/>
  <c r="F113" i="1"/>
  <c r="K150" i="1"/>
  <c r="N189" i="1"/>
  <c r="F189" i="1"/>
  <c r="F172" i="1" l="1"/>
  <c r="N171" i="1"/>
  <c r="N190" i="1"/>
  <c r="F190" i="1"/>
  <c r="F114" i="1"/>
  <c r="K151" i="1"/>
  <c r="B115" i="1"/>
  <c r="K133" i="1"/>
  <c r="F173" i="1" l="1"/>
  <c r="N172" i="1"/>
  <c r="F115" i="1"/>
  <c r="K152" i="1"/>
  <c r="N191" i="1"/>
  <c r="F191" i="1"/>
  <c r="K134" i="1"/>
  <c r="B116" i="1"/>
  <c r="F174" i="1" l="1"/>
  <c r="N173" i="1"/>
  <c r="B117" i="1"/>
  <c r="K135" i="1"/>
  <c r="F192" i="1"/>
  <c r="N192" i="1"/>
  <c r="K153" i="1"/>
  <c r="F116" i="1"/>
  <c r="F175" i="1" l="1"/>
  <c r="N174" i="1"/>
  <c r="K154" i="1"/>
  <c r="F117" i="1"/>
  <c r="F193" i="1"/>
  <c r="N193" i="1"/>
  <c r="B118" i="1"/>
  <c r="K136" i="1"/>
  <c r="F176" i="1" l="1"/>
  <c r="N175" i="1"/>
  <c r="K155" i="1"/>
  <c r="F118" i="1"/>
  <c r="K137" i="1"/>
  <c r="B119" i="1"/>
  <c r="N194" i="1"/>
  <c r="F194" i="1"/>
  <c r="F177" i="1" l="1"/>
  <c r="N176" i="1"/>
  <c r="K138" i="1"/>
  <c r="B120" i="1"/>
  <c r="N195" i="1"/>
  <c r="F195" i="1"/>
  <c r="K156" i="1"/>
  <c r="F119" i="1"/>
  <c r="F178" i="1" l="1"/>
  <c r="N177" i="1"/>
  <c r="K157" i="1"/>
  <c r="F120" i="1"/>
  <c r="F196" i="1"/>
  <c r="N196" i="1"/>
  <c r="B121" i="1"/>
  <c r="K140" i="1" s="1"/>
  <c r="K139" i="1"/>
  <c r="N178" i="1" l="1"/>
  <c r="F179" i="1"/>
  <c r="N197" i="1"/>
  <c r="F197" i="1"/>
  <c r="F121" i="1"/>
  <c r="K159" i="1" s="1"/>
  <c r="K158" i="1"/>
  <c r="F180" i="1" l="1"/>
  <c r="N179" i="1"/>
  <c r="K166" i="1" s="1"/>
  <c r="N198" i="1"/>
  <c r="K184" i="1" s="1"/>
  <c r="F198" i="1"/>
  <c r="J184" i="1" s="1"/>
  <c r="N180" i="1" l="1"/>
  <c r="L166" i="1"/>
  <c r="L184" i="1"/>
</calcChain>
</file>

<file path=xl/sharedStrings.xml><?xml version="1.0" encoding="utf-8"?>
<sst xmlns="http://schemas.openxmlformats.org/spreadsheetml/2006/main" count="485" uniqueCount="73">
  <si>
    <t>公交线路客流调查表</t>
  </si>
  <si>
    <t>调查日期：2026.4.21</t>
  </si>
  <si>
    <t>调查线路：某路</t>
  </si>
  <si>
    <t>站点编号</t>
  </si>
  <si>
    <t>途径站点</t>
  </si>
  <si>
    <t>到达时间</t>
  </si>
  <si>
    <t>离站时间</t>
  </si>
  <si>
    <t>上车人数</t>
  </si>
  <si>
    <t>下车人数</t>
  </si>
  <si>
    <t>东体育馆</t>
  </si>
  <si>
    <t>融园东</t>
  </si>
  <si>
    <t>东操场</t>
  </si>
  <si>
    <t>第三食堂</t>
  </si>
  <si>
    <t>理科楼</t>
  </si>
  <si>
    <t>秀园</t>
  </si>
  <si>
    <t>逸夫楼</t>
  </si>
  <si>
    <t>第二食堂</t>
  </si>
  <si>
    <t>1号教学楼</t>
  </si>
  <si>
    <t>综合楼</t>
  </si>
  <si>
    <t>11号教学楼</t>
  </si>
  <si>
    <t>一食堂</t>
  </si>
  <si>
    <t>纺化楼</t>
  </si>
  <si>
    <t>西门</t>
  </si>
  <si>
    <t xml:space="preserve"> 融园东</t>
  </si>
  <si>
    <t xml:space="preserve">   东体育馆</t>
  </si>
  <si>
    <t>总计</t>
  </si>
  <si>
    <t>发车间隔：10分钟</t>
  </si>
  <si>
    <t xml:space="preserve">    理科楼</t>
  </si>
  <si>
    <t>公交线路客流调查表（下行）</t>
  </si>
  <si>
    <t>公交线路客流调查表（上行）</t>
  </si>
  <si>
    <t>调查日期：2025.4.18</t>
  </si>
  <si>
    <t>发车间隔：分钟</t>
  </si>
  <si>
    <t>发车时间：</t>
  </si>
  <si>
    <t>到达时间：</t>
  </si>
  <si>
    <t>合计</t>
  </si>
  <si>
    <t>断面（下行）</t>
  </si>
  <si>
    <t>客流量</t>
  </si>
  <si>
    <t>断面（上行）</t>
  </si>
  <si>
    <t>（下行）</t>
  </si>
  <si>
    <t>平均上车人数</t>
  </si>
  <si>
    <t>平均下车人数</t>
  </si>
  <si>
    <t>车上人数</t>
  </si>
  <si>
    <t>断面客流</t>
  </si>
  <si>
    <t>（上行）</t>
  </si>
  <si>
    <t>某次车，早高峰时期（下行）</t>
  </si>
  <si>
    <t>站点</t>
  </si>
  <si>
    <t>站名</t>
  </si>
  <si>
    <t>站距Si</t>
  </si>
  <si>
    <t>行驶距离/km</t>
  </si>
  <si>
    <t>已上车乘客 (客流量Ai)</t>
  </si>
  <si>
    <t>集结量</t>
  </si>
  <si>
    <t>疏散量</t>
  </si>
  <si>
    <t>垂直误差线</t>
  </si>
  <si>
    <t>客运周转量</t>
  </si>
  <si>
    <t>平均运距</t>
  </si>
  <si>
    <t>某次车，早高峰时期（上行）</t>
  </si>
  <si>
    <t>发车时间：18:02</t>
    <phoneticPr fontId="3" type="noConversion"/>
  </si>
  <si>
    <t>到达时间：18.43</t>
    <phoneticPr fontId="3" type="noConversion"/>
  </si>
  <si>
    <t>发车时间：18.03</t>
    <phoneticPr fontId="3" type="noConversion"/>
  </si>
  <si>
    <t>到达时间：18.44</t>
    <phoneticPr fontId="3" type="noConversion"/>
  </si>
  <si>
    <t>发车间隔：1分钟</t>
    <phoneticPr fontId="3" type="noConversion"/>
  </si>
  <si>
    <t>发车时间：18.04</t>
    <phoneticPr fontId="3" type="noConversion"/>
  </si>
  <si>
    <t>到达时间：18.45</t>
    <phoneticPr fontId="3" type="noConversion"/>
  </si>
  <si>
    <t>（1-15的客运量）</t>
  </si>
  <si>
    <t>（1-15的客运量）</t>
    <phoneticPr fontId="3" type="noConversion"/>
  </si>
  <si>
    <t>下车人数</t>
    <phoneticPr fontId="3" type="noConversion"/>
  </si>
  <si>
    <t>总计</t>
    <phoneticPr fontId="3" type="noConversion"/>
  </si>
  <si>
    <t>调查线路：某路</t>
    <phoneticPr fontId="3" type="noConversion"/>
  </si>
  <si>
    <t>发车间隔：1分钟</t>
  </si>
  <si>
    <t>发车时间：18.03</t>
  </si>
  <si>
    <t>到达时间：18.44</t>
  </si>
  <si>
    <t>发车时间：18.04</t>
  </si>
  <si>
    <t>到达时间：18.45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</si>
</sst>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0_ "/>
    <numFmt numFmtId="177" formatCode="0.00_);[Red]\(0.00\)"/>
    <numFmt numFmtId="178" formatCode="h:mm;@"/>
    <numFmt numFmtId="179" formatCode="0_ "/>
    <numFmt numFmtId="180" formatCode="0.000"/>
  </numFmts>
  <fonts count="5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1" fillId="0" borderId="1" xfId="0" applyFont="1" applyBorder="1" applyAlignment="1">
      <alignment horizontal="center" vertical="top" wrapText="1"/>
    </xf>
    <xf numFmtId="179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79" fontId="2" fillId="0" borderId="0" xfId="0" applyNumberFormat="1" applyFont="1" applyAlignment="1">
      <alignment horizontal="center" vertical="top" wrapText="1"/>
    </xf>
    <xf numFmtId="18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5D5365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zh-CN"/>
              <a:t>高峰时段下行路线上下车人数对比图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x-none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6A0-4212-BDE0-D391CA2A5255}"/>
              </c:ext>
            </c:extLst>
          </c:dPt>
          <c:cat>
            <c:strRef>
              <c:f>Sheet1!$B$68:$B$82</c:f>
              <c:strCache>
                <c:ptCount val="15"/>
                <c:pt idx="0">
                  <c:v>东体育馆</c:v>
                </c:pt>
                <c:pt idx="1">
                  <c:v>融园东</c:v>
                </c:pt>
                <c:pt idx="2">
                  <c:v>第三食堂</c:v>
                </c:pt>
                <c:pt idx="3">
                  <c:v>秀园</c:v>
                </c:pt>
                <c:pt idx="4">
                  <c:v>第二食堂</c:v>
                </c:pt>
                <c:pt idx="5">
                  <c:v>综合楼</c:v>
                </c:pt>
                <c:pt idx="6">
                  <c:v>一食堂</c:v>
                </c:pt>
                <c:pt idx="7">
                  <c:v>西门</c:v>
                </c:pt>
                <c:pt idx="8">
                  <c:v>纺化楼</c:v>
                </c:pt>
                <c:pt idx="9">
                  <c:v>11号教学楼</c:v>
                </c:pt>
                <c:pt idx="10">
                  <c:v>1号教学楼</c:v>
                </c:pt>
                <c:pt idx="11">
                  <c:v>逸夫楼</c:v>
                </c:pt>
                <c:pt idx="12">
                  <c:v>理科楼</c:v>
                </c:pt>
                <c:pt idx="13">
                  <c:v>东操场</c:v>
                </c:pt>
                <c:pt idx="14">
                  <c:v>东体育馆</c:v>
                </c:pt>
              </c:strCache>
            </c:strRef>
          </c:cat>
          <c:val>
            <c:numRef>
              <c:f>Sheet1!$C$68:$C$82</c:f>
              <c:numCache>
                <c:formatCode>General</c:formatCode>
                <c:ptCount val="15"/>
                <c:pt idx="0">
                  <c:v>7</c:v>
                </c:pt>
                <c:pt idx="1">
                  <c:v>15</c:v>
                </c:pt>
                <c:pt idx="2">
                  <c:v>2</c:v>
                </c:pt>
                <c:pt idx="3">
                  <c:v>1</c:v>
                </c:pt>
                <c:pt idx="4">
                  <c:v>9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</c:v>
                </c:pt>
                <c:pt idx="13">
                  <c:v>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0-4212-BDE0-D391CA2A5255}"/>
            </c:ext>
          </c:extLst>
        </c:ser>
        <c:ser>
          <c:idx val="1"/>
          <c:order val="1"/>
          <c:tx>
            <c:strRef>
              <c:f>Sheet1!$D$67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Sheet1!$B$68:$B$82</c:f>
              <c:strCache>
                <c:ptCount val="15"/>
                <c:pt idx="0">
                  <c:v>东体育馆</c:v>
                </c:pt>
                <c:pt idx="1">
                  <c:v>融园东</c:v>
                </c:pt>
                <c:pt idx="2">
                  <c:v>第三食堂</c:v>
                </c:pt>
                <c:pt idx="3">
                  <c:v>秀园</c:v>
                </c:pt>
                <c:pt idx="4">
                  <c:v>第二食堂</c:v>
                </c:pt>
                <c:pt idx="5">
                  <c:v>综合楼</c:v>
                </c:pt>
                <c:pt idx="6">
                  <c:v>一食堂</c:v>
                </c:pt>
                <c:pt idx="7">
                  <c:v>西门</c:v>
                </c:pt>
                <c:pt idx="8">
                  <c:v>纺化楼</c:v>
                </c:pt>
                <c:pt idx="9">
                  <c:v>11号教学楼</c:v>
                </c:pt>
                <c:pt idx="10">
                  <c:v>1号教学楼</c:v>
                </c:pt>
                <c:pt idx="11">
                  <c:v>逸夫楼</c:v>
                </c:pt>
                <c:pt idx="12">
                  <c:v>理科楼</c:v>
                </c:pt>
                <c:pt idx="13">
                  <c:v>东操场</c:v>
                </c:pt>
                <c:pt idx="14">
                  <c:v>东体育馆</c:v>
                </c:pt>
              </c:strCache>
            </c:strRef>
          </c:cat>
          <c:val>
            <c:numRef>
              <c:f>Sheet1!$D$68:$D$82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0-4212-BDE0-D391CA2A5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06811"/>
        <c:axId val="66396229"/>
      </c:barChart>
      <c:catAx>
        <c:axId val="1591068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96229"/>
        <c:crosses val="autoZero"/>
        <c:auto val="1"/>
        <c:lblAlgn val="ctr"/>
        <c:lblOffset val="100"/>
        <c:noMultiLvlLbl val="0"/>
      </c:catAx>
      <c:valAx>
        <c:axId val="663962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1068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zh-CN"/>
              <a:t>高峰时段下行路线上下车人数对比图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x-none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3065960873357099E-2"/>
          <c:y val="0.14295532646048101"/>
          <c:w val="0.91465198546403004"/>
          <c:h val="0.610591768812403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Sheet1!$B$67</c:f>
              <c:strCache>
                <c:ptCount val="1"/>
                <c:pt idx="0">
                  <c:v>途径站点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Sheet1!$B$68:$B$83</c:f>
              <c:numCache>
                <c:formatCode>h:mm;@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E-488B-859F-761B0015F6E5}"/>
            </c:ext>
          </c:extLst>
        </c:ser>
        <c:ser>
          <c:idx val="1"/>
          <c:order val="1"/>
          <c:tx>
            <c:strRef>
              <c:f>Sheet1!$C$67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Sheet1!$C$68:$C$83</c:f>
              <c:numCache>
                <c:formatCode>General</c:formatCode>
                <c:ptCount val="16"/>
                <c:pt idx="0">
                  <c:v>7</c:v>
                </c:pt>
                <c:pt idx="1">
                  <c:v>15</c:v>
                </c:pt>
                <c:pt idx="2">
                  <c:v>2</c:v>
                </c:pt>
                <c:pt idx="3">
                  <c:v>1</c:v>
                </c:pt>
                <c:pt idx="4">
                  <c:v>9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</c:v>
                </c:pt>
                <c:pt idx="13">
                  <c:v>5</c:v>
                </c:pt>
                <c:pt idx="14">
                  <c:v>0</c:v>
                </c:pt>
                <c:pt idx="1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E-488B-859F-761B0015F6E5}"/>
            </c:ext>
          </c:extLst>
        </c:ser>
        <c:ser>
          <c:idx val="2"/>
          <c:order val="2"/>
          <c:tx>
            <c:strRef>
              <c:f>Sheet1!$D$67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Sheet1!$D$68:$D$83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9</c:v>
                </c:pt>
                <c:pt idx="1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E-488B-859F-761B0015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555810"/>
        <c:axId val="594694668"/>
      </c:barChart>
      <c:catAx>
        <c:axId val="1135558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694668"/>
        <c:crosses val="autoZero"/>
        <c:auto val="1"/>
        <c:lblAlgn val="ctr"/>
        <c:lblOffset val="100"/>
        <c:noMultiLvlLbl val="0"/>
      </c:catAx>
      <c:valAx>
        <c:axId val="5946946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5558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高峰时段上行路线上下车人数对比图</a:t>
            </a:r>
          </a:p>
        </c:rich>
      </c:tx>
      <c:layout>
        <c:manualLayout>
          <c:xMode val="edge"/>
          <c:yMode val="edge"/>
          <c:x val="0.163540445486518"/>
          <c:y val="7.6589226448812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Sheet1!$H$68:$H$82</c:f>
              <c:numCache>
                <c:formatCode>General</c:formatCode>
                <c:ptCount val="15"/>
                <c:pt idx="0">
                  <c:v>7</c:v>
                </c:pt>
                <c:pt idx="1">
                  <c:v>0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3-4300-89EA-C9BFA6E465D5}"/>
            </c:ext>
          </c:extLst>
        </c:ser>
        <c:ser>
          <c:idx val="1"/>
          <c:order val="1"/>
          <c:tx>
            <c:strRef>
              <c:f>Sheet1!$I$67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Sheet1!$I$68:$I$82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11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3-4300-89EA-C9BFA6E46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494224"/>
        <c:axId val="2050490864"/>
      </c:barChart>
      <c:catAx>
        <c:axId val="205049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0864"/>
        <c:crosses val="autoZero"/>
        <c:auto val="1"/>
        <c:lblAlgn val="ctr"/>
        <c:lblOffset val="100"/>
        <c:noMultiLvlLbl val="0"/>
      </c:catAx>
      <c:valAx>
        <c:axId val="20504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高峰时段上行路线上下车人数对比图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Sheet1!$H$67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88A-4EF2-9083-14BDE482961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88A-4EF2-9083-14BDE4829612}"/>
              </c:ext>
            </c:extLst>
          </c:dPt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Sheet1!$H$68:$H$82</c:f>
              <c:numCache>
                <c:formatCode>General</c:formatCode>
                <c:ptCount val="15"/>
                <c:pt idx="0">
                  <c:v>7</c:v>
                </c:pt>
                <c:pt idx="1">
                  <c:v>0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A-4EF2-9083-14BDE4829612}"/>
            </c:ext>
          </c:extLst>
        </c:ser>
        <c:ser>
          <c:idx val="1"/>
          <c:order val="1"/>
          <c:tx>
            <c:strRef>
              <c:f>Sheet1!$I$67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Sheet1!$I$68:$I$82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11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8A-4EF2-9083-14BDE4829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0497104"/>
        <c:axId val="2050497584"/>
      </c:barChart>
      <c:catAx>
        <c:axId val="20504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7584"/>
        <c:crosses val="autoZero"/>
        <c:auto val="1"/>
        <c:lblAlgn val="ctr"/>
        <c:lblOffset val="100"/>
        <c:noMultiLvlLbl val="0"/>
      </c:catAx>
      <c:valAx>
        <c:axId val="20504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Sheet1!$F$183</c:f>
              <c:strCache>
                <c:ptCount val="1"/>
                <c:pt idx="0">
                  <c:v>已上车乘客 (客流量Ai)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Sheet1!$I$184:$I$198</c:f>
                <c:numCache>
                  <c:formatCode>General</c:formatCode>
                  <c:ptCount val="15"/>
                  <c:pt idx="0">
                    <c:v>7</c:v>
                  </c:pt>
                  <c:pt idx="1">
                    <c:v>-3</c:v>
                  </c:pt>
                  <c:pt idx="2">
                    <c:v>5</c:v>
                  </c:pt>
                  <c:pt idx="3">
                    <c:v>0</c:v>
                  </c:pt>
                  <c:pt idx="4">
                    <c:v>5</c:v>
                  </c:pt>
                  <c:pt idx="5">
                    <c:v>5</c:v>
                  </c:pt>
                  <c:pt idx="6">
                    <c:v>0</c:v>
                  </c:pt>
                  <c:pt idx="7">
                    <c:v>-1</c:v>
                  </c:pt>
                  <c:pt idx="8">
                    <c:v>-3</c:v>
                  </c:pt>
                  <c:pt idx="9">
                    <c:v>-1</c:v>
                  </c:pt>
                  <c:pt idx="10">
                    <c:v>-4</c:v>
                  </c:pt>
                  <c:pt idx="11">
                    <c:v>-6</c:v>
                  </c:pt>
                  <c:pt idx="12">
                    <c:v>0</c:v>
                  </c:pt>
                  <c:pt idx="13">
                    <c:v>0</c:v>
                  </c:pt>
                  <c:pt idx="14">
                    <c:v>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Sheet1!$B$184:$B$198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Sheet1!$F$184:$F$198</c:f>
              <c:numCache>
                <c:formatCode>General</c:formatCode>
                <c:ptCount val="15"/>
                <c:pt idx="0">
                  <c:v>7</c:v>
                </c:pt>
                <c:pt idx="1">
                  <c:v>4</c:v>
                </c:pt>
                <c:pt idx="2">
                  <c:v>9</c:v>
                </c:pt>
                <c:pt idx="3">
                  <c:v>9</c:v>
                </c:pt>
                <c:pt idx="4">
                  <c:v>14</c:v>
                </c:pt>
                <c:pt idx="5">
                  <c:v>19</c:v>
                </c:pt>
                <c:pt idx="6">
                  <c:v>19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10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D-4275-8C38-295D39A20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815664"/>
        <c:axId val="1161817104"/>
      </c:scatterChart>
      <c:valAx>
        <c:axId val="116181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817104"/>
        <c:crosses val="autoZero"/>
        <c:crossBetween val="midCat"/>
      </c:valAx>
      <c:valAx>
        <c:axId val="11618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81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Sheet1!$F$165</c:f>
              <c:strCache>
                <c:ptCount val="1"/>
                <c:pt idx="0">
                  <c:v>已上车乘客 (客流量Ai)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Sheet1!$I$166:$I$180</c:f>
                <c:numCache>
                  <c:formatCode>General</c:formatCode>
                  <c:ptCount val="15"/>
                  <c:pt idx="0">
                    <c:v>7</c:v>
                  </c:pt>
                  <c:pt idx="1">
                    <c:v>12</c:v>
                  </c:pt>
                  <c:pt idx="2">
                    <c:v>-8</c:v>
                  </c:pt>
                  <c:pt idx="3">
                    <c:v>-2</c:v>
                  </c:pt>
                  <c:pt idx="4">
                    <c:v>4</c:v>
                  </c:pt>
                  <c:pt idx="5">
                    <c:v>-1</c:v>
                  </c:pt>
                  <c:pt idx="6">
                    <c:v>-1</c:v>
                  </c:pt>
                  <c:pt idx="7">
                    <c:v>-4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-4</c:v>
                  </c:pt>
                  <c:pt idx="12">
                    <c:v>-3</c:v>
                  </c:pt>
                  <c:pt idx="13">
                    <c:v>4</c:v>
                  </c:pt>
                  <c:pt idx="14">
                    <c:v>-9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Sheet1!$B$166:$B$180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Sheet1!$F$166:$F$180</c:f>
              <c:numCache>
                <c:formatCode>General</c:formatCode>
                <c:ptCount val="15"/>
                <c:pt idx="0">
                  <c:v>7</c:v>
                </c:pt>
                <c:pt idx="1">
                  <c:v>19</c:v>
                </c:pt>
                <c:pt idx="2">
                  <c:v>11</c:v>
                </c:pt>
                <c:pt idx="3">
                  <c:v>9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8</c:v>
                </c:pt>
                <c:pt idx="12">
                  <c:v>5</c:v>
                </c:pt>
                <c:pt idx="13">
                  <c:v>9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6E-4BAC-907A-B72DC0B97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64575"/>
        <c:axId val="1394365055"/>
      </c:scatterChart>
      <c:valAx>
        <c:axId val="139436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365055"/>
        <c:crosses val="autoZero"/>
        <c:crossBetween val="midCat"/>
      </c:valAx>
      <c:valAx>
        <c:axId val="139436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36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128905</xdr:colOff>
      <xdr:row>87</xdr:row>
      <xdr:rowOff>27940</xdr:rowOff>
    </xdr:from>
    <xdr:to>
      <xdr:col>2</xdr:col>
      <xdr:colOff>986117</xdr:colOff>
      <xdr:row>100</xdr:row>
      <xdr:rowOff>63165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1084580</xdr:colOff>
      <xdr:row>87</xdr:row>
      <xdr:rowOff>24130</xdr:rowOff>
    </xdr:from>
    <xdr:to>
      <xdr:col>5</xdr:col>
      <xdr:colOff>1265069</xdr:colOff>
      <xdr:row>100</xdr:row>
      <xdr:rowOff>111089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1513205</xdr:colOff>
      <xdr:row>88</xdr:row>
      <xdr:rowOff>22860</xdr:rowOff>
    </xdr:from>
    <xdr:to>
      <xdr:col>9</xdr:col>
      <xdr:colOff>675004</xdr:colOff>
      <xdr:row>102</xdr:row>
      <xdr:rowOff>40790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96520</xdr:colOff>
      <xdr:row>88</xdr:row>
      <xdr:rowOff>20320</xdr:rowOff>
    </xdr:from>
    <xdr:to>
      <xdr:col>16</xdr:col>
      <xdr:colOff>348615</xdr:colOff>
      <xdr:row>101</xdr:row>
      <xdr:rowOff>136525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3969</xdr:colOff>
      <xdr:row>200</xdr:row>
      <xdr:rowOff>33338</xdr:rowOff>
    </xdr:from>
    <xdr:to>
      <xdr:col>12</xdr:col>
      <xdr:colOff>464344</xdr:colOff>
      <xdr:row>215</xdr:row>
      <xdr:rowOff>157163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6D1456F-CDB4-7418-560A-4CE74A624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718343</xdr:colOff>
      <xdr:row>200</xdr:row>
      <xdr:rowOff>168275</xdr:rowOff>
    </xdr:from>
    <xdr:to>
      <xdr:col>4</xdr:col>
      <xdr:colOff>1567656</xdr:colOff>
      <xdr:row>216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59ED3BA-BD13-AA78-F43A-47A30CE09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tabSelected="1" topLeftCell="A18" zoomScale="80" zoomScaleNormal="80" workbookViewId="0">
      <selection activeCell="P41" sqref="P41"/>
    </sheetView>
  </sheetViews>
  <sheetFormatPr defaultColWidth="9" defaultRowHeight="13.5" x14ac:dyDescent="0.15"/>
  <cols>
    <col min="1" max="1" width="29.125" customWidth="1"/>
    <col min="2" max="2" width="16.125" customWidth="1"/>
    <col min="3" max="3" width="18.125" customWidth="1"/>
    <col min="4" max="4" width="19" customWidth="1"/>
    <col min="5" max="5" width="23.875" customWidth="1"/>
    <col min="6" max="6" width="29.125" customWidth="1"/>
    <col min="7" max="7" width="16.125" customWidth="1"/>
    <col min="8" max="8" width="11.625" customWidth="1"/>
    <col min="9" max="9" width="17.125" customWidth="1"/>
    <col min="10" max="10" width="11.625" customWidth="1"/>
    <col min="11" max="11" width="9.5" customWidth="1"/>
  </cols>
  <sheetData>
    <row r="1" spans="1:11" x14ac:dyDescent="0.15">
      <c r="A1" s="20" t="s">
        <v>0</v>
      </c>
      <c r="B1" s="20"/>
      <c r="C1" s="20"/>
      <c r="D1" s="20"/>
      <c r="E1" s="20"/>
      <c r="F1" s="20"/>
      <c r="G1" s="1"/>
      <c r="H1" s="1"/>
      <c r="I1" s="1"/>
      <c r="J1" s="1"/>
      <c r="K1" s="1"/>
    </row>
    <row r="2" spans="1:11" x14ac:dyDescent="0.15">
      <c r="A2" s="1" t="s">
        <v>1</v>
      </c>
      <c r="B2" s="25" t="s">
        <v>67</v>
      </c>
      <c r="C2" s="25"/>
      <c r="D2" s="25"/>
      <c r="E2" s="25"/>
      <c r="F2" s="25"/>
      <c r="G2" s="1"/>
      <c r="H2" s="1"/>
      <c r="I2" s="1"/>
      <c r="J2" s="1"/>
      <c r="K2" s="1"/>
    </row>
    <row r="3" spans="1:11" x14ac:dyDescent="0.15">
      <c r="A3" s="12" t="s">
        <v>60</v>
      </c>
      <c r="B3" s="25" t="s">
        <v>56</v>
      </c>
      <c r="C3" s="25"/>
      <c r="D3" s="25"/>
      <c r="E3" s="25" t="s">
        <v>57</v>
      </c>
      <c r="F3" s="25"/>
      <c r="G3" s="1"/>
      <c r="H3" s="1"/>
      <c r="I3" s="1"/>
      <c r="J3" s="1"/>
      <c r="K3" s="1"/>
    </row>
    <row r="4" spans="1:11" x14ac:dyDescent="0.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2" t="s">
        <v>65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1:11" x14ac:dyDescent="0.15">
      <c r="A5" s="1">
        <v>1</v>
      </c>
      <c r="B5" s="2" t="s">
        <v>9</v>
      </c>
      <c r="C5" s="3">
        <v>18.02</v>
      </c>
      <c r="D5" s="3">
        <v>18.02</v>
      </c>
      <c r="E5" s="1">
        <v>3</v>
      </c>
      <c r="F5" s="1">
        <v>0</v>
      </c>
      <c r="G5" s="2" t="s">
        <v>9</v>
      </c>
      <c r="H5" s="3">
        <v>19.149999999999999</v>
      </c>
      <c r="I5" s="3">
        <v>19.149999999999999</v>
      </c>
      <c r="J5" s="1">
        <v>4</v>
      </c>
      <c r="K5" s="1">
        <v>0</v>
      </c>
    </row>
    <row r="6" spans="1:11" x14ac:dyDescent="0.15">
      <c r="A6" s="1">
        <v>2</v>
      </c>
      <c r="B6" s="2" t="s">
        <v>10</v>
      </c>
      <c r="C6" s="3">
        <v>18.04</v>
      </c>
      <c r="D6" s="3">
        <v>18.04</v>
      </c>
      <c r="E6" s="1">
        <v>5</v>
      </c>
      <c r="F6" s="1">
        <v>1</v>
      </c>
      <c r="G6" s="2" t="s">
        <v>11</v>
      </c>
      <c r="H6" s="3">
        <v>19.170000000000002</v>
      </c>
      <c r="I6" s="3">
        <v>19.170000000000002</v>
      </c>
      <c r="J6" s="1">
        <v>0</v>
      </c>
      <c r="K6" s="1">
        <v>1</v>
      </c>
    </row>
    <row r="7" spans="1:11" x14ac:dyDescent="0.15">
      <c r="A7" s="1">
        <v>3</v>
      </c>
      <c r="B7" s="2" t="s">
        <v>12</v>
      </c>
      <c r="C7" s="3">
        <v>18.059999999999999</v>
      </c>
      <c r="D7" s="3">
        <v>18.07</v>
      </c>
      <c r="E7" s="1">
        <v>0</v>
      </c>
      <c r="F7" s="1">
        <v>1</v>
      </c>
      <c r="G7" s="2" t="s">
        <v>13</v>
      </c>
      <c r="H7" s="3">
        <v>19.18</v>
      </c>
      <c r="I7" s="3">
        <v>19.190000000000001</v>
      </c>
      <c r="J7" s="1">
        <v>3</v>
      </c>
      <c r="K7" s="1">
        <v>0</v>
      </c>
    </row>
    <row r="8" spans="1:11" x14ac:dyDescent="0.15">
      <c r="A8" s="1">
        <v>4</v>
      </c>
      <c r="B8" s="2" t="s">
        <v>14</v>
      </c>
      <c r="C8" s="3">
        <v>18.079999999999998</v>
      </c>
      <c r="D8" s="3">
        <v>18.09</v>
      </c>
      <c r="E8" s="1">
        <v>1</v>
      </c>
      <c r="F8" s="1">
        <v>2</v>
      </c>
      <c r="G8" s="2" t="s">
        <v>15</v>
      </c>
      <c r="H8" s="3">
        <v>19.2</v>
      </c>
      <c r="I8" s="3">
        <v>19.21</v>
      </c>
      <c r="J8" s="1">
        <v>1</v>
      </c>
      <c r="K8" s="1">
        <v>2</v>
      </c>
    </row>
    <row r="9" spans="1:11" x14ac:dyDescent="0.15">
      <c r="A9" s="1">
        <v>5</v>
      </c>
      <c r="B9" s="2" t="s">
        <v>16</v>
      </c>
      <c r="C9" s="3">
        <v>18.12</v>
      </c>
      <c r="D9" s="3">
        <v>18.13</v>
      </c>
      <c r="E9" s="1">
        <v>3</v>
      </c>
      <c r="F9" s="1">
        <v>0</v>
      </c>
      <c r="G9" s="2" t="s">
        <v>17</v>
      </c>
      <c r="H9" s="3">
        <v>19.22</v>
      </c>
      <c r="I9" s="3">
        <v>19.23</v>
      </c>
      <c r="J9" s="1">
        <v>2</v>
      </c>
      <c r="K9" s="1">
        <v>0</v>
      </c>
    </row>
    <row r="10" spans="1:11" x14ac:dyDescent="0.15">
      <c r="A10" s="1">
        <v>6</v>
      </c>
      <c r="B10" s="2" t="s">
        <v>18</v>
      </c>
      <c r="C10" s="3">
        <v>18.18</v>
      </c>
      <c r="D10" s="3">
        <v>18.190000000000001</v>
      </c>
      <c r="E10" s="1">
        <v>1</v>
      </c>
      <c r="F10" s="1">
        <v>3</v>
      </c>
      <c r="G10" s="2" t="s">
        <v>19</v>
      </c>
      <c r="H10" s="3">
        <v>19.25</v>
      </c>
      <c r="I10" s="3">
        <v>19.25</v>
      </c>
      <c r="J10" s="1">
        <v>4</v>
      </c>
      <c r="K10" s="1">
        <v>1</v>
      </c>
    </row>
    <row r="11" spans="1:11" x14ac:dyDescent="0.15">
      <c r="A11" s="1">
        <v>7</v>
      </c>
      <c r="B11" s="2" t="s">
        <v>20</v>
      </c>
      <c r="C11" s="3">
        <v>18.23</v>
      </c>
      <c r="D11" s="3">
        <v>18.23</v>
      </c>
      <c r="E11" s="1">
        <v>0</v>
      </c>
      <c r="F11" s="1">
        <v>0</v>
      </c>
      <c r="G11" s="2" t="s">
        <v>21</v>
      </c>
      <c r="H11" s="3">
        <v>19.28</v>
      </c>
      <c r="I11" s="3">
        <v>19.29</v>
      </c>
      <c r="J11" s="1">
        <v>0</v>
      </c>
      <c r="K11" s="1">
        <v>1</v>
      </c>
    </row>
    <row r="12" spans="1:11" x14ac:dyDescent="0.15">
      <c r="A12" s="1">
        <v>8</v>
      </c>
      <c r="B12" s="2" t="s">
        <v>22</v>
      </c>
      <c r="C12" s="3">
        <v>18.25</v>
      </c>
      <c r="D12" s="3">
        <v>18.260000000000002</v>
      </c>
      <c r="E12" s="1">
        <v>1</v>
      </c>
      <c r="F12" s="1">
        <v>4</v>
      </c>
      <c r="G12" s="2" t="s">
        <v>22</v>
      </c>
      <c r="H12" s="3">
        <v>19.309999999999999</v>
      </c>
      <c r="I12" s="3">
        <v>19.309999999999999</v>
      </c>
      <c r="J12" s="1">
        <v>1</v>
      </c>
      <c r="K12" s="1">
        <v>2</v>
      </c>
    </row>
    <row r="13" spans="1:11" ht="15" customHeight="1" x14ac:dyDescent="0.15">
      <c r="A13" s="1">
        <v>9</v>
      </c>
      <c r="B13" s="2" t="s">
        <v>21</v>
      </c>
      <c r="C13" s="1">
        <v>18.28</v>
      </c>
      <c r="D13" s="1">
        <v>18.28</v>
      </c>
      <c r="E13" s="1">
        <v>1</v>
      </c>
      <c r="F13" s="1">
        <v>0</v>
      </c>
      <c r="G13" s="2" t="s">
        <v>20</v>
      </c>
      <c r="H13" s="3">
        <v>19.329999999999998</v>
      </c>
      <c r="I13" s="3">
        <v>19.329999999999998</v>
      </c>
      <c r="J13" s="1">
        <v>2</v>
      </c>
      <c r="K13" s="1">
        <v>4</v>
      </c>
    </row>
    <row r="14" spans="1:11" ht="15" customHeight="1" x14ac:dyDescent="0.15">
      <c r="A14" s="1">
        <v>10</v>
      </c>
      <c r="B14" s="2" t="s">
        <v>19</v>
      </c>
      <c r="C14" s="4">
        <v>18.3</v>
      </c>
      <c r="D14" s="4">
        <v>18.309999999999999</v>
      </c>
      <c r="E14" s="1">
        <v>2</v>
      </c>
      <c r="F14" s="1">
        <v>2</v>
      </c>
      <c r="G14" s="2" t="s">
        <v>18</v>
      </c>
      <c r="H14" s="1">
        <v>19.37</v>
      </c>
      <c r="I14" s="1">
        <v>19.38</v>
      </c>
      <c r="J14" s="1">
        <v>0</v>
      </c>
      <c r="K14" s="1">
        <v>0</v>
      </c>
    </row>
    <row r="15" spans="1:11" x14ac:dyDescent="0.15">
      <c r="A15" s="1">
        <v>11</v>
      </c>
      <c r="B15" s="2" t="s">
        <v>17</v>
      </c>
      <c r="C15" s="1">
        <v>18.329999999999998</v>
      </c>
      <c r="D15" s="1">
        <v>18.34</v>
      </c>
      <c r="E15" s="1">
        <v>2</v>
      </c>
      <c r="F15" s="1">
        <v>0</v>
      </c>
      <c r="G15" s="2" t="s">
        <v>16</v>
      </c>
      <c r="H15" s="1">
        <v>19.43</v>
      </c>
      <c r="I15" s="1">
        <v>19.43</v>
      </c>
      <c r="J15" s="1">
        <v>0</v>
      </c>
      <c r="K15" s="1">
        <v>5</v>
      </c>
    </row>
    <row r="16" spans="1:11" x14ac:dyDescent="0.15">
      <c r="A16" s="1">
        <v>12</v>
      </c>
      <c r="B16" s="2" t="s">
        <v>15</v>
      </c>
      <c r="C16" s="1">
        <v>18.36</v>
      </c>
      <c r="D16" s="1">
        <v>18.37</v>
      </c>
      <c r="E16" s="1">
        <v>0</v>
      </c>
      <c r="F16" s="1">
        <v>2</v>
      </c>
      <c r="G16" s="2" t="s">
        <v>14</v>
      </c>
      <c r="H16" s="1">
        <v>19.46</v>
      </c>
      <c r="I16" s="1">
        <v>19.46</v>
      </c>
      <c r="J16" s="1">
        <v>5</v>
      </c>
      <c r="K16" s="1">
        <v>3</v>
      </c>
    </row>
    <row r="17" spans="1:11" x14ac:dyDescent="0.15">
      <c r="A17" s="1">
        <v>13</v>
      </c>
      <c r="B17" s="2" t="s">
        <v>13</v>
      </c>
      <c r="C17" s="4">
        <v>18.399999999999999</v>
      </c>
      <c r="D17" s="4">
        <v>18.399999999999999</v>
      </c>
      <c r="E17" s="1">
        <v>0</v>
      </c>
      <c r="F17" s="1">
        <v>0</v>
      </c>
      <c r="G17" s="2" t="s">
        <v>12</v>
      </c>
      <c r="H17" s="1">
        <v>19.48</v>
      </c>
      <c r="I17" s="1">
        <v>19.48</v>
      </c>
      <c r="J17" s="1">
        <v>2</v>
      </c>
      <c r="K17" s="1">
        <v>4</v>
      </c>
    </row>
    <row r="18" spans="1:11" x14ac:dyDescent="0.15">
      <c r="A18" s="1">
        <v>14</v>
      </c>
      <c r="B18" s="2" t="s">
        <v>11</v>
      </c>
      <c r="C18" s="4">
        <v>18.41</v>
      </c>
      <c r="D18" s="4">
        <v>18.420000000000002</v>
      </c>
      <c r="E18" s="1">
        <v>2</v>
      </c>
      <c r="F18" s="1">
        <v>1</v>
      </c>
      <c r="G18" s="2" t="s">
        <v>23</v>
      </c>
      <c r="H18" s="3">
        <v>19.5</v>
      </c>
      <c r="I18" s="3">
        <v>19.510000000000002</v>
      </c>
      <c r="J18" s="1">
        <v>3</v>
      </c>
      <c r="K18" s="1">
        <v>2</v>
      </c>
    </row>
    <row r="19" spans="1:11" x14ac:dyDescent="0.15">
      <c r="A19" s="1">
        <v>15</v>
      </c>
      <c r="B19" s="5" t="s">
        <v>24</v>
      </c>
      <c r="C19" s="1">
        <v>18.43</v>
      </c>
      <c r="D19" s="1">
        <v>18.43</v>
      </c>
      <c r="E19" s="1">
        <v>0</v>
      </c>
      <c r="F19" s="1">
        <v>5</v>
      </c>
      <c r="G19" s="2" t="s">
        <v>9</v>
      </c>
      <c r="H19" s="1">
        <v>19.53</v>
      </c>
      <c r="I19" s="1">
        <v>19.53</v>
      </c>
      <c r="J19" s="1">
        <v>0</v>
      </c>
      <c r="K19" s="1">
        <v>2</v>
      </c>
    </row>
    <row r="20" spans="1:11" x14ac:dyDescent="0.15">
      <c r="A20" s="12" t="s">
        <v>66</v>
      </c>
      <c r="B20" s="1"/>
      <c r="C20" s="1"/>
      <c r="D20" s="1"/>
      <c r="E20" s="1">
        <f>SUM(E5:E19)</f>
        <v>21</v>
      </c>
      <c r="F20" s="1">
        <f>SUM(F5:F19)</f>
        <v>21</v>
      </c>
      <c r="G20" s="1"/>
      <c r="H20" s="1"/>
      <c r="I20" s="1"/>
      <c r="J20" s="1">
        <f>SUM(J5:J19)</f>
        <v>27</v>
      </c>
      <c r="K20" s="1">
        <f>SUM(K5:K19)</f>
        <v>27</v>
      </c>
    </row>
    <row r="21" spans="1:1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15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15">
      <c r="A23" s="1" t="s">
        <v>1</v>
      </c>
      <c r="B23" s="1" t="s">
        <v>2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15">
      <c r="A24" s="12" t="s">
        <v>60</v>
      </c>
      <c r="B24" s="12" t="s">
        <v>58</v>
      </c>
      <c r="C24" s="12" t="s">
        <v>59</v>
      </c>
      <c r="D24" s="1"/>
      <c r="E24" s="1"/>
      <c r="F24" s="1"/>
      <c r="G24" s="1"/>
      <c r="H24" s="1"/>
      <c r="I24" s="1"/>
      <c r="J24" s="1"/>
      <c r="K24" s="1"/>
    </row>
    <row r="25" spans="1:11" x14ac:dyDescent="0.15">
      <c r="A25" s="1" t="s">
        <v>3</v>
      </c>
      <c r="B25" s="1" t="s">
        <v>4</v>
      </c>
      <c r="C25" s="1" t="s">
        <v>5</v>
      </c>
      <c r="D25" s="1" t="s">
        <v>6</v>
      </c>
      <c r="E25" s="1" t="s">
        <v>7</v>
      </c>
      <c r="F25" s="1" t="s">
        <v>8</v>
      </c>
      <c r="G25" s="1" t="s">
        <v>4</v>
      </c>
      <c r="H25" s="1" t="s">
        <v>5</v>
      </c>
      <c r="I25" s="1" t="s">
        <v>6</v>
      </c>
      <c r="J25" s="1" t="s">
        <v>7</v>
      </c>
      <c r="K25" s="1" t="s">
        <v>8</v>
      </c>
    </row>
    <row r="26" spans="1:11" x14ac:dyDescent="0.15">
      <c r="A26" s="1">
        <v>1</v>
      </c>
      <c r="B26" s="2" t="s">
        <v>9</v>
      </c>
      <c r="C26" s="3">
        <f>C5+0.01</f>
        <v>18.03</v>
      </c>
      <c r="D26" s="3">
        <f>D5+0.01</f>
        <v>18.03</v>
      </c>
      <c r="E26" s="1">
        <v>2</v>
      </c>
      <c r="F26" s="1">
        <v>0</v>
      </c>
      <c r="G26" s="2" t="s">
        <v>9</v>
      </c>
      <c r="H26" s="3">
        <v>19.350000000000001</v>
      </c>
      <c r="I26" s="3">
        <v>19.350000000000001</v>
      </c>
      <c r="J26" s="1">
        <v>1</v>
      </c>
      <c r="K26" s="1">
        <v>0</v>
      </c>
    </row>
    <row r="27" spans="1:11" x14ac:dyDescent="0.15">
      <c r="A27" s="1">
        <v>2</v>
      </c>
      <c r="B27" s="2" t="s">
        <v>10</v>
      </c>
      <c r="C27" s="3">
        <f>C6+0.01</f>
        <v>18.05</v>
      </c>
      <c r="D27" s="3">
        <f t="shared" ref="D27:D40" si="0">D6+0.01</f>
        <v>18.05</v>
      </c>
      <c r="E27" s="1">
        <v>6</v>
      </c>
      <c r="F27" s="1">
        <v>1</v>
      </c>
      <c r="G27" s="2" t="s">
        <v>11</v>
      </c>
      <c r="H27" s="3">
        <v>19.36</v>
      </c>
      <c r="I27" s="3">
        <v>19.37</v>
      </c>
      <c r="J27" s="1">
        <v>0</v>
      </c>
      <c r="K27" s="1">
        <v>1</v>
      </c>
    </row>
    <row r="28" spans="1:11" x14ac:dyDescent="0.15">
      <c r="A28" s="1">
        <v>3</v>
      </c>
      <c r="B28" s="2" t="s">
        <v>12</v>
      </c>
      <c r="C28" s="3">
        <f t="shared" ref="C28:C40" si="1">C7+0.01</f>
        <v>18.07</v>
      </c>
      <c r="D28" s="3">
        <f t="shared" si="0"/>
        <v>18.080000000000002</v>
      </c>
      <c r="E28" s="1">
        <v>1</v>
      </c>
      <c r="F28" s="1">
        <v>7</v>
      </c>
      <c r="G28" s="2" t="s">
        <v>13</v>
      </c>
      <c r="H28" s="3">
        <v>19.38</v>
      </c>
      <c r="I28" s="3">
        <v>19.38</v>
      </c>
      <c r="J28" s="1">
        <v>1</v>
      </c>
      <c r="K28" s="1">
        <v>0</v>
      </c>
    </row>
    <row r="29" spans="1:11" x14ac:dyDescent="0.15">
      <c r="A29" s="1">
        <v>4</v>
      </c>
      <c r="B29" s="2" t="s">
        <v>14</v>
      </c>
      <c r="C29" s="3">
        <f t="shared" si="1"/>
        <v>18.09</v>
      </c>
      <c r="D29" s="3">
        <f t="shared" si="0"/>
        <v>18.100000000000001</v>
      </c>
      <c r="E29" s="1">
        <v>0</v>
      </c>
      <c r="F29" s="1">
        <v>0</v>
      </c>
      <c r="G29" s="2" t="s">
        <v>15</v>
      </c>
      <c r="H29" s="3">
        <v>19.399999999999999</v>
      </c>
      <c r="I29" s="3">
        <v>19.41</v>
      </c>
      <c r="J29" s="1">
        <v>0</v>
      </c>
      <c r="K29" s="1">
        <v>0</v>
      </c>
    </row>
    <row r="30" spans="1:11" x14ac:dyDescent="0.15">
      <c r="A30" s="1">
        <v>5</v>
      </c>
      <c r="B30" s="2" t="s">
        <v>16</v>
      </c>
      <c r="C30" s="3">
        <f t="shared" si="1"/>
        <v>18.130000000000003</v>
      </c>
      <c r="D30" s="3">
        <f t="shared" si="0"/>
        <v>18.14</v>
      </c>
      <c r="E30" s="1">
        <v>3</v>
      </c>
      <c r="F30" s="1">
        <v>2</v>
      </c>
      <c r="G30" s="2" t="s">
        <v>17</v>
      </c>
      <c r="H30" s="3">
        <v>19.43</v>
      </c>
      <c r="I30" s="3">
        <v>19.43</v>
      </c>
      <c r="J30" s="1">
        <v>3</v>
      </c>
      <c r="K30" s="1">
        <v>0</v>
      </c>
    </row>
    <row r="31" spans="1:11" x14ac:dyDescent="0.15">
      <c r="A31" s="1">
        <v>6</v>
      </c>
      <c r="B31" s="2" t="s">
        <v>18</v>
      </c>
      <c r="C31" s="3">
        <f t="shared" si="1"/>
        <v>18.190000000000001</v>
      </c>
      <c r="D31" s="3">
        <f t="shared" si="0"/>
        <v>18.200000000000003</v>
      </c>
      <c r="E31" s="1">
        <v>1</v>
      </c>
      <c r="F31" s="1">
        <v>0</v>
      </c>
      <c r="G31" s="2" t="s">
        <v>19</v>
      </c>
      <c r="H31" s="3">
        <v>19.45</v>
      </c>
      <c r="I31" s="3">
        <v>19.46</v>
      </c>
      <c r="J31" s="1">
        <v>2</v>
      </c>
      <c r="K31" s="1">
        <v>1</v>
      </c>
    </row>
    <row r="32" spans="1:11" x14ac:dyDescent="0.15">
      <c r="A32" s="1">
        <v>7</v>
      </c>
      <c r="B32" s="2" t="s">
        <v>20</v>
      </c>
      <c r="C32" s="3">
        <f t="shared" si="1"/>
        <v>18.240000000000002</v>
      </c>
      <c r="D32" s="3">
        <f t="shared" si="0"/>
        <v>18.240000000000002</v>
      </c>
      <c r="E32" s="1">
        <v>0</v>
      </c>
      <c r="F32" s="1">
        <v>0</v>
      </c>
      <c r="G32" s="2" t="s">
        <v>21</v>
      </c>
      <c r="H32" s="3">
        <v>19.489999999999998</v>
      </c>
      <c r="I32" s="3">
        <v>19.5</v>
      </c>
      <c r="J32" s="1">
        <v>1</v>
      </c>
      <c r="K32" s="1">
        <v>1</v>
      </c>
    </row>
    <row r="33" spans="1:11" x14ac:dyDescent="0.15">
      <c r="A33" s="1">
        <v>8</v>
      </c>
      <c r="B33" s="2" t="s">
        <v>22</v>
      </c>
      <c r="C33" s="3">
        <f t="shared" si="1"/>
        <v>18.260000000000002</v>
      </c>
      <c r="D33" s="3">
        <f t="shared" si="0"/>
        <v>18.270000000000003</v>
      </c>
      <c r="E33" s="1">
        <v>1</v>
      </c>
      <c r="F33" s="1">
        <v>1</v>
      </c>
      <c r="G33" s="2" t="s">
        <v>22</v>
      </c>
      <c r="H33" s="3">
        <v>19.52</v>
      </c>
      <c r="I33" s="3">
        <v>19.52</v>
      </c>
      <c r="J33" s="1">
        <v>0</v>
      </c>
      <c r="K33" s="1">
        <v>0</v>
      </c>
    </row>
    <row r="34" spans="1:11" x14ac:dyDescent="0.15">
      <c r="A34" s="1">
        <v>9</v>
      </c>
      <c r="B34" s="2" t="s">
        <v>21</v>
      </c>
      <c r="C34" s="3">
        <f t="shared" si="1"/>
        <v>18.290000000000003</v>
      </c>
      <c r="D34" s="3">
        <f t="shared" si="0"/>
        <v>18.290000000000003</v>
      </c>
      <c r="E34" s="1">
        <v>0</v>
      </c>
      <c r="F34" s="1">
        <v>1</v>
      </c>
      <c r="G34" s="2" t="s">
        <v>20</v>
      </c>
      <c r="H34" s="3">
        <v>19.54</v>
      </c>
      <c r="I34" s="3">
        <v>19.55</v>
      </c>
      <c r="J34" s="1">
        <v>2</v>
      </c>
      <c r="K34" s="1">
        <v>2</v>
      </c>
    </row>
    <row r="35" spans="1:11" x14ac:dyDescent="0.15">
      <c r="A35" s="1">
        <v>10</v>
      </c>
      <c r="B35" s="2" t="s">
        <v>19</v>
      </c>
      <c r="C35" s="3">
        <f t="shared" si="1"/>
        <v>18.310000000000002</v>
      </c>
      <c r="D35" s="3">
        <f t="shared" si="0"/>
        <v>18.32</v>
      </c>
      <c r="E35" s="1">
        <v>2</v>
      </c>
      <c r="F35" s="1">
        <v>0</v>
      </c>
      <c r="G35" s="2" t="s">
        <v>18</v>
      </c>
      <c r="H35" s="1">
        <v>19.579999999999998</v>
      </c>
      <c r="I35" s="1">
        <v>19.59</v>
      </c>
      <c r="J35" s="1">
        <v>0</v>
      </c>
      <c r="K35" s="1">
        <v>0</v>
      </c>
    </row>
    <row r="36" spans="1:11" x14ac:dyDescent="0.15">
      <c r="A36" s="1">
        <v>11</v>
      </c>
      <c r="B36" s="2" t="s">
        <v>17</v>
      </c>
      <c r="C36" s="3">
        <f t="shared" si="1"/>
        <v>18.34</v>
      </c>
      <c r="D36" s="3">
        <f t="shared" si="0"/>
        <v>18.350000000000001</v>
      </c>
      <c r="E36" s="1">
        <v>0</v>
      </c>
      <c r="F36" s="1">
        <v>2</v>
      </c>
      <c r="G36" s="2" t="s">
        <v>16</v>
      </c>
      <c r="H36" s="1">
        <v>20.02</v>
      </c>
      <c r="I36" s="1">
        <v>20.03</v>
      </c>
      <c r="J36" s="1">
        <v>2</v>
      </c>
      <c r="K36" s="1">
        <v>1</v>
      </c>
    </row>
    <row r="37" spans="1:11" x14ac:dyDescent="0.15">
      <c r="A37" s="1">
        <v>12</v>
      </c>
      <c r="B37" s="2" t="s">
        <v>15</v>
      </c>
      <c r="C37" s="3">
        <f t="shared" si="1"/>
        <v>18.37</v>
      </c>
      <c r="D37" s="3">
        <f t="shared" si="0"/>
        <v>18.380000000000003</v>
      </c>
      <c r="E37" s="1">
        <v>0</v>
      </c>
      <c r="F37" s="1">
        <v>1</v>
      </c>
      <c r="G37" s="2" t="s">
        <v>14</v>
      </c>
      <c r="H37" s="1">
        <v>20.059999999999999</v>
      </c>
      <c r="I37" s="1">
        <v>20.059999999999999</v>
      </c>
      <c r="J37" s="1">
        <v>0</v>
      </c>
      <c r="K37" s="1">
        <v>5</v>
      </c>
    </row>
    <row r="38" spans="1:11" x14ac:dyDescent="0.15">
      <c r="A38" s="1">
        <v>13</v>
      </c>
      <c r="B38" s="2" t="s">
        <v>13</v>
      </c>
      <c r="C38" s="3">
        <v>18.399999999999999</v>
      </c>
      <c r="D38" s="3">
        <f t="shared" si="0"/>
        <v>18.41</v>
      </c>
      <c r="E38" s="1">
        <v>0</v>
      </c>
      <c r="F38" s="1">
        <v>1</v>
      </c>
      <c r="G38" s="2" t="s">
        <v>12</v>
      </c>
      <c r="H38" s="1">
        <v>20.079999999999998</v>
      </c>
      <c r="I38" s="1">
        <v>20.079999999999998</v>
      </c>
      <c r="J38" s="1">
        <v>1</v>
      </c>
      <c r="K38" s="1">
        <v>2</v>
      </c>
    </row>
    <row r="39" spans="1:11" x14ac:dyDescent="0.15">
      <c r="A39" s="1">
        <v>14</v>
      </c>
      <c r="B39" s="2" t="s">
        <v>11</v>
      </c>
      <c r="C39" s="3">
        <f t="shared" si="1"/>
        <v>18.420000000000002</v>
      </c>
      <c r="D39" s="3">
        <f t="shared" si="0"/>
        <v>18.430000000000003</v>
      </c>
      <c r="E39" s="1">
        <v>3</v>
      </c>
      <c r="F39" s="1">
        <v>0</v>
      </c>
      <c r="G39" s="2" t="s">
        <v>10</v>
      </c>
      <c r="H39" s="4">
        <v>20.100000000000001</v>
      </c>
      <c r="I39" s="4">
        <v>20.11</v>
      </c>
      <c r="J39" s="1">
        <v>1</v>
      </c>
      <c r="K39" s="1">
        <v>0</v>
      </c>
    </row>
    <row r="40" spans="1:11" x14ac:dyDescent="0.15">
      <c r="A40" s="1">
        <v>15</v>
      </c>
      <c r="B40" s="2" t="s">
        <v>24</v>
      </c>
      <c r="C40" s="3">
        <f t="shared" si="1"/>
        <v>18.440000000000001</v>
      </c>
      <c r="D40" s="3">
        <f t="shared" si="0"/>
        <v>18.440000000000001</v>
      </c>
      <c r="E40" s="1">
        <v>0</v>
      </c>
      <c r="F40" s="1">
        <v>3</v>
      </c>
      <c r="G40" s="2" t="s">
        <v>9</v>
      </c>
      <c r="H40" s="1">
        <v>20.13</v>
      </c>
      <c r="I40" s="1">
        <v>20.13</v>
      </c>
      <c r="J40" s="1">
        <v>0</v>
      </c>
      <c r="K40" s="1">
        <v>1</v>
      </c>
    </row>
    <row r="41" spans="1:11" x14ac:dyDescent="0.15">
      <c r="A41" s="1" t="s">
        <v>25</v>
      </c>
      <c r="B41" s="1"/>
      <c r="C41" s="1"/>
      <c r="D41" s="1"/>
      <c r="E41" s="1">
        <f>SUM(E26:E40)</f>
        <v>19</v>
      </c>
      <c r="F41" s="1">
        <f>SUM(F26:F40)</f>
        <v>19</v>
      </c>
      <c r="G41" s="1"/>
      <c r="H41" s="1"/>
      <c r="I41" s="1"/>
      <c r="J41" s="1">
        <f>SUM(J26:J40)</f>
        <v>14</v>
      </c>
      <c r="K41" s="1">
        <f>SUM(K26:K40)</f>
        <v>14</v>
      </c>
    </row>
    <row r="42" spans="1:1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15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15">
      <c r="A44" s="1" t="s">
        <v>1</v>
      </c>
      <c r="B44" s="1" t="s">
        <v>2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15">
      <c r="A45" s="12" t="s">
        <v>60</v>
      </c>
      <c r="B45" s="12" t="s">
        <v>61</v>
      </c>
      <c r="C45" s="12" t="s">
        <v>62</v>
      </c>
      <c r="D45" s="1"/>
      <c r="E45" s="1"/>
      <c r="F45" s="1"/>
      <c r="G45" s="1"/>
      <c r="H45" s="1"/>
      <c r="I45" s="1"/>
      <c r="J45" s="1"/>
      <c r="K45" s="1"/>
    </row>
    <row r="46" spans="1:11" x14ac:dyDescent="0.15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1" t="s">
        <v>4</v>
      </c>
      <c r="H46" s="1" t="s">
        <v>5</v>
      </c>
      <c r="I46" s="1" t="s">
        <v>6</v>
      </c>
      <c r="J46" s="1" t="s">
        <v>7</v>
      </c>
      <c r="K46" s="1" t="s">
        <v>8</v>
      </c>
    </row>
    <row r="47" spans="1:11" x14ac:dyDescent="0.15">
      <c r="A47" s="1">
        <v>1</v>
      </c>
      <c r="B47" s="2" t="s">
        <v>9</v>
      </c>
      <c r="C47" s="3">
        <f>C26+0.01</f>
        <v>18.040000000000003</v>
      </c>
      <c r="D47" s="3">
        <f>D26+0.01</f>
        <v>18.040000000000003</v>
      </c>
      <c r="E47" s="1">
        <v>2</v>
      </c>
      <c r="F47" s="1">
        <v>0</v>
      </c>
      <c r="G47" s="2" t="s">
        <v>9</v>
      </c>
      <c r="H47" s="3">
        <v>20.05</v>
      </c>
      <c r="I47" s="3">
        <v>20.05</v>
      </c>
      <c r="J47" s="1">
        <v>2</v>
      </c>
      <c r="K47" s="1">
        <v>0</v>
      </c>
    </row>
    <row r="48" spans="1:11" x14ac:dyDescent="0.15">
      <c r="A48" s="1">
        <v>2</v>
      </c>
      <c r="B48" s="2" t="s">
        <v>10</v>
      </c>
      <c r="C48" s="3">
        <f t="shared" ref="C48:D61" si="2">C27+0.01</f>
        <v>18.060000000000002</v>
      </c>
      <c r="D48" s="3">
        <f t="shared" si="2"/>
        <v>18.060000000000002</v>
      </c>
      <c r="E48" s="1">
        <v>4</v>
      </c>
      <c r="F48" s="1">
        <v>1</v>
      </c>
      <c r="G48" s="2" t="s">
        <v>11</v>
      </c>
      <c r="H48" s="3">
        <v>20.059999999999999</v>
      </c>
      <c r="I48" s="3">
        <v>20.059999999999999</v>
      </c>
      <c r="J48" s="1">
        <v>0</v>
      </c>
      <c r="K48" s="1">
        <v>1</v>
      </c>
    </row>
    <row r="49" spans="1:11" x14ac:dyDescent="0.15">
      <c r="A49" s="1">
        <v>3</v>
      </c>
      <c r="B49" s="2" t="s">
        <v>12</v>
      </c>
      <c r="C49" s="3">
        <f t="shared" si="2"/>
        <v>18.080000000000002</v>
      </c>
      <c r="D49" s="3">
        <v>18.09</v>
      </c>
      <c r="E49" s="1">
        <v>1</v>
      </c>
      <c r="F49" s="1">
        <v>2</v>
      </c>
      <c r="G49" s="2" t="s">
        <v>13</v>
      </c>
      <c r="H49" s="3">
        <v>20.07</v>
      </c>
      <c r="I49" s="3">
        <v>20.079999999999998</v>
      </c>
      <c r="J49" s="1">
        <v>1</v>
      </c>
      <c r="K49" s="1">
        <v>0</v>
      </c>
    </row>
    <row r="50" spans="1:11" x14ac:dyDescent="0.15">
      <c r="A50" s="1">
        <v>4</v>
      </c>
      <c r="B50" s="2" t="s">
        <v>14</v>
      </c>
      <c r="C50" s="3">
        <f t="shared" si="2"/>
        <v>18.100000000000001</v>
      </c>
      <c r="D50" s="3">
        <f t="shared" si="2"/>
        <v>18.110000000000003</v>
      </c>
      <c r="E50" s="1">
        <v>0</v>
      </c>
      <c r="F50" s="1">
        <v>1</v>
      </c>
      <c r="G50" s="2" t="s">
        <v>15</v>
      </c>
      <c r="H50" s="3">
        <v>20.100000000000001</v>
      </c>
      <c r="I50" s="3">
        <v>20.11</v>
      </c>
      <c r="J50" s="1">
        <v>1</v>
      </c>
      <c r="K50" s="1">
        <v>0</v>
      </c>
    </row>
    <row r="51" spans="1:11" x14ac:dyDescent="0.15">
      <c r="A51" s="1">
        <v>5</v>
      </c>
      <c r="B51" s="2" t="s">
        <v>16</v>
      </c>
      <c r="C51" s="3">
        <f t="shared" si="2"/>
        <v>18.140000000000004</v>
      </c>
      <c r="D51" s="3">
        <v>18.14</v>
      </c>
      <c r="E51" s="1">
        <v>3</v>
      </c>
      <c r="F51" s="1">
        <v>3</v>
      </c>
      <c r="G51" s="2" t="s">
        <v>17</v>
      </c>
      <c r="H51" s="3">
        <v>20.13</v>
      </c>
      <c r="I51" s="3">
        <v>20.13</v>
      </c>
      <c r="J51" s="1">
        <v>1</v>
      </c>
      <c r="K51" s="1">
        <v>1</v>
      </c>
    </row>
    <row r="52" spans="1:11" x14ac:dyDescent="0.15">
      <c r="A52" s="1">
        <v>6</v>
      </c>
      <c r="B52" s="2" t="s">
        <v>18</v>
      </c>
      <c r="C52" s="3">
        <f t="shared" si="2"/>
        <v>18.200000000000003</v>
      </c>
      <c r="D52" s="3">
        <f t="shared" si="2"/>
        <v>18.210000000000004</v>
      </c>
      <c r="E52" s="1">
        <v>0</v>
      </c>
      <c r="F52" s="1">
        <v>0</v>
      </c>
      <c r="G52" s="2" t="s">
        <v>19</v>
      </c>
      <c r="H52" s="3">
        <v>20.149999999999999</v>
      </c>
      <c r="I52" s="3">
        <v>20.16</v>
      </c>
      <c r="J52" s="1">
        <v>1</v>
      </c>
      <c r="K52" s="1">
        <v>0</v>
      </c>
    </row>
    <row r="53" spans="1:11" x14ac:dyDescent="0.15">
      <c r="A53" s="1">
        <v>7</v>
      </c>
      <c r="B53" s="2" t="s">
        <v>20</v>
      </c>
      <c r="C53" s="3">
        <f t="shared" si="2"/>
        <v>18.250000000000004</v>
      </c>
      <c r="D53" s="3">
        <f t="shared" si="2"/>
        <v>18.250000000000004</v>
      </c>
      <c r="E53" s="1">
        <v>1</v>
      </c>
      <c r="F53" s="1">
        <v>2</v>
      </c>
      <c r="G53" s="2" t="s">
        <v>21</v>
      </c>
      <c r="H53" s="3">
        <v>20.190000000000001</v>
      </c>
      <c r="I53" s="3">
        <v>20.190000000000001</v>
      </c>
      <c r="J53" s="1">
        <v>2</v>
      </c>
      <c r="K53" s="1">
        <v>1</v>
      </c>
    </row>
    <row r="54" spans="1:11" x14ac:dyDescent="0.15">
      <c r="A54" s="1">
        <v>8</v>
      </c>
      <c r="B54" s="2" t="s">
        <v>22</v>
      </c>
      <c r="C54" s="3">
        <f t="shared" si="2"/>
        <v>18.270000000000003</v>
      </c>
      <c r="D54" s="3">
        <v>18.27</v>
      </c>
      <c r="E54" s="1">
        <v>0</v>
      </c>
      <c r="F54" s="1">
        <v>1</v>
      </c>
      <c r="G54" s="2" t="s">
        <v>22</v>
      </c>
      <c r="H54" s="3">
        <v>20.21</v>
      </c>
      <c r="I54" s="3">
        <v>20.21</v>
      </c>
      <c r="J54" s="1">
        <v>0</v>
      </c>
      <c r="K54" s="1">
        <v>0</v>
      </c>
    </row>
    <row r="55" spans="1:11" x14ac:dyDescent="0.15">
      <c r="A55" s="1">
        <v>9</v>
      </c>
      <c r="B55" s="2" t="s">
        <v>21</v>
      </c>
      <c r="C55" s="3">
        <f t="shared" si="2"/>
        <v>18.300000000000004</v>
      </c>
      <c r="D55" s="3">
        <f t="shared" si="2"/>
        <v>18.300000000000004</v>
      </c>
      <c r="E55" s="1">
        <v>2</v>
      </c>
      <c r="F55" s="1">
        <v>0</v>
      </c>
      <c r="G55" s="2" t="s">
        <v>20</v>
      </c>
      <c r="H55" s="3">
        <v>20.23</v>
      </c>
      <c r="I55" s="3">
        <v>20.23</v>
      </c>
      <c r="J55" s="1">
        <v>1</v>
      </c>
      <c r="K55" s="1">
        <v>2</v>
      </c>
    </row>
    <row r="56" spans="1:11" x14ac:dyDescent="0.15">
      <c r="A56" s="1">
        <v>10</v>
      </c>
      <c r="B56" s="2" t="s">
        <v>19</v>
      </c>
      <c r="C56" s="3">
        <f t="shared" si="2"/>
        <v>18.320000000000004</v>
      </c>
      <c r="D56" s="3">
        <f t="shared" si="2"/>
        <v>18.330000000000002</v>
      </c>
      <c r="E56" s="1">
        <v>0</v>
      </c>
      <c r="F56" s="1">
        <v>1</v>
      </c>
      <c r="G56" s="2" t="s">
        <v>18</v>
      </c>
      <c r="H56" s="3">
        <v>20.260000000000002</v>
      </c>
      <c r="I56" s="3">
        <v>20.27</v>
      </c>
      <c r="J56" s="1">
        <v>1</v>
      </c>
      <c r="K56" s="1">
        <v>2</v>
      </c>
    </row>
    <row r="57" spans="1:11" x14ac:dyDescent="0.15">
      <c r="A57" s="1">
        <v>11</v>
      </c>
      <c r="B57" s="2" t="s">
        <v>17</v>
      </c>
      <c r="C57" s="3">
        <f t="shared" si="2"/>
        <v>18.350000000000001</v>
      </c>
      <c r="D57" s="3">
        <v>18.350000000000001</v>
      </c>
      <c r="E57" s="1">
        <v>2</v>
      </c>
      <c r="F57" s="1">
        <v>0</v>
      </c>
      <c r="G57" s="2" t="s">
        <v>16</v>
      </c>
      <c r="H57" s="3">
        <v>20.309999999999999</v>
      </c>
      <c r="I57" s="3">
        <v>20.309999999999999</v>
      </c>
      <c r="J57" s="1">
        <v>0</v>
      </c>
      <c r="K57" s="1">
        <v>0</v>
      </c>
    </row>
    <row r="58" spans="1:11" x14ac:dyDescent="0.15">
      <c r="A58" s="1">
        <v>12</v>
      </c>
      <c r="B58" s="2" t="s">
        <v>15</v>
      </c>
      <c r="C58" s="3">
        <f t="shared" si="2"/>
        <v>18.380000000000003</v>
      </c>
      <c r="D58" s="3">
        <v>18.38</v>
      </c>
      <c r="E58" s="1">
        <v>0</v>
      </c>
      <c r="F58" s="1">
        <v>1</v>
      </c>
      <c r="G58" s="2" t="s">
        <v>14</v>
      </c>
      <c r="H58" s="3">
        <v>20.34</v>
      </c>
      <c r="I58" s="3">
        <v>20.34</v>
      </c>
      <c r="J58" s="1">
        <v>0</v>
      </c>
      <c r="K58" s="1">
        <v>3</v>
      </c>
    </row>
    <row r="59" spans="1:11" x14ac:dyDescent="0.15">
      <c r="A59" s="1">
        <v>13</v>
      </c>
      <c r="B59" s="2" t="s">
        <v>27</v>
      </c>
      <c r="C59" s="3">
        <f t="shared" si="2"/>
        <v>18.41</v>
      </c>
      <c r="D59" s="3">
        <v>18.420000000000002</v>
      </c>
      <c r="E59" s="1">
        <v>1</v>
      </c>
      <c r="F59" s="1">
        <v>3</v>
      </c>
      <c r="G59" s="2" t="s">
        <v>12</v>
      </c>
      <c r="H59" s="3">
        <v>20.350000000000001</v>
      </c>
      <c r="I59" s="3">
        <v>20.36</v>
      </c>
      <c r="J59" s="1">
        <v>3</v>
      </c>
      <c r="K59" s="1">
        <v>0</v>
      </c>
    </row>
    <row r="60" spans="1:11" x14ac:dyDescent="0.15">
      <c r="A60" s="1">
        <v>14</v>
      </c>
      <c r="B60" s="2" t="s">
        <v>11</v>
      </c>
      <c r="C60" s="3">
        <f t="shared" si="2"/>
        <v>18.430000000000003</v>
      </c>
      <c r="D60" s="3">
        <v>18.43</v>
      </c>
      <c r="E60" s="1">
        <v>0</v>
      </c>
      <c r="F60" s="1">
        <v>0</v>
      </c>
      <c r="G60" s="2" t="s">
        <v>10</v>
      </c>
      <c r="H60" s="3">
        <v>20.39</v>
      </c>
      <c r="I60" s="3">
        <v>20.39</v>
      </c>
      <c r="J60" s="1">
        <v>0</v>
      </c>
      <c r="K60" s="1">
        <v>2</v>
      </c>
    </row>
    <row r="61" spans="1:11" x14ac:dyDescent="0.15">
      <c r="A61" s="1">
        <v>15</v>
      </c>
      <c r="B61" s="2" t="s">
        <v>9</v>
      </c>
      <c r="C61" s="3">
        <f t="shared" si="2"/>
        <v>18.450000000000003</v>
      </c>
      <c r="D61" s="3">
        <f t="shared" si="2"/>
        <v>18.450000000000003</v>
      </c>
      <c r="E61" s="1">
        <v>0</v>
      </c>
      <c r="F61" s="1">
        <v>1</v>
      </c>
      <c r="G61" s="2" t="s">
        <v>9</v>
      </c>
      <c r="H61" s="3">
        <v>20.41</v>
      </c>
      <c r="I61" s="3">
        <v>20.41</v>
      </c>
      <c r="J61" s="1">
        <v>0</v>
      </c>
      <c r="K61" s="1">
        <v>1</v>
      </c>
    </row>
    <row r="62" spans="1:11" x14ac:dyDescent="0.15">
      <c r="A62" s="1" t="s">
        <v>25</v>
      </c>
      <c r="B62" s="1"/>
      <c r="C62" s="1"/>
      <c r="D62" s="1"/>
      <c r="E62" s="1">
        <f>SUM(E47:E61)</f>
        <v>16</v>
      </c>
      <c r="F62" s="1">
        <f>SUM(F47:F61)</f>
        <v>16</v>
      </c>
      <c r="G62" s="1"/>
      <c r="H62" s="1"/>
      <c r="I62" s="1"/>
      <c r="J62" s="1">
        <f>SUM(J47:J61)</f>
        <v>13</v>
      </c>
      <c r="K62" s="1">
        <f>SUM(K47:K61)</f>
        <v>13</v>
      </c>
    </row>
    <row r="63" spans="1:1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15">
      <c r="A64" s="22" t="s">
        <v>28</v>
      </c>
      <c r="B64" s="23"/>
      <c r="C64" s="23"/>
      <c r="D64" s="24"/>
      <c r="E64" s="1"/>
      <c r="F64" s="22" t="s">
        <v>29</v>
      </c>
      <c r="G64" s="23"/>
      <c r="H64" s="23"/>
      <c r="I64" s="24"/>
      <c r="J64" s="1"/>
      <c r="K64" s="1"/>
    </row>
    <row r="65" spans="1:11" x14ac:dyDescent="0.15">
      <c r="A65" s="15" t="s">
        <v>30</v>
      </c>
      <c r="B65" s="15" t="s">
        <v>2</v>
      </c>
      <c r="C65" s="15"/>
      <c r="D65" s="15"/>
      <c r="E65" s="1"/>
      <c r="F65" s="15" t="s">
        <v>30</v>
      </c>
      <c r="G65" s="15" t="s">
        <v>2</v>
      </c>
      <c r="H65" s="15"/>
      <c r="I65" s="15"/>
      <c r="J65" s="1"/>
      <c r="K65" s="1"/>
    </row>
    <row r="66" spans="1:11" x14ac:dyDescent="0.15">
      <c r="A66" s="15" t="s">
        <v>31</v>
      </c>
      <c r="B66" s="15" t="s">
        <v>32</v>
      </c>
      <c r="C66" s="15" t="s">
        <v>33</v>
      </c>
      <c r="D66" s="15"/>
      <c r="E66" s="1"/>
      <c r="F66" s="15" t="s">
        <v>26</v>
      </c>
      <c r="G66" s="15" t="s">
        <v>32</v>
      </c>
      <c r="H66" s="15" t="s">
        <v>33</v>
      </c>
      <c r="I66" s="15"/>
      <c r="J66" s="1"/>
      <c r="K66" s="1"/>
    </row>
    <row r="67" spans="1:11" x14ac:dyDescent="0.15">
      <c r="A67" s="15" t="s">
        <v>3</v>
      </c>
      <c r="B67" s="15" t="s">
        <v>4</v>
      </c>
      <c r="C67" s="15" t="s">
        <v>7</v>
      </c>
      <c r="D67" s="15" t="s">
        <v>8</v>
      </c>
      <c r="E67" s="1"/>
      <c r="F67" s="15" t="s">
        <v>3</v>
      </c>
      <c r="G67" s="15" t="s">
        <v>4</v>
      </c>
      <c r="H67" s="15" t="s">
        <v>7</v>
      </c>
      <c r="I67" s="15" t="s">
        <v>8</v>
      </c>
      <c r="J67" s="1"/>
      <c r="K67" s="1"/>
    </row>
    <row r="68" spans="1:11" x14ac:dyDescent="0.15">
      <c r="A68" s="15">
        <v>1</v>
      </c>
      <c r="B68" s="16" t="s">
        <v>9</v>
      </c>
      <c r="C68" s="15">
        <f t="shared" ref="C68:D73" si="3">E5+E26+E47</f>
        <v>7</v>
      </c>
      <c r="D68" s="15">
        <f t="shared" si="3"/>
        <v>0</v>
      </c>
      <c r="E68" s="1"/>
      <c r="F68" s="15">
        <v>1</v>
      </c>
      <c r="G68" s="16" t="s">
        <v>9</v>
      </c>
      <c r="H68" s="15">
        <f>J5+J26+J47</f>
        <v>7</v>
      </c>
      <c r="I68" s="15">
        <f>K5+K26+K47</f>
        <v>0</v>
      </c>
      <c r="J68" s="1"/>
      <c r="K68" s="1"/>
    </row>
    <row r="69" spans="1:11" x14ac:dyDescent="0.15">
      <c r="A69" s="15">
        <v>2</v>
      </c>
      <c r="B69" s="16" t="s">
        <v>10</v>
      </c>
      <c r="C69" s="15">
        <f t="shared" si="3"/>
        <v>15</v>
      </c>
      <c r="D69" s="15">
        <f t="shared" si="3"/>
        <v>3</v>
      </c>
      <c r="E69" s="1"/>
      <c r="F69" s="15">
        <v>2</v>
      </c>
      <c r="G69" s="16" t="s">
        <v>11</v>
      </c>
      <c r="H69" s="15">
        <f t="shared" ref="H69:H82" si="4">J6+J27+J48</f>
        <v>0</v>
      </c>
      <c r="I69" s="15">
        <f t="shared" ref="I69:I82" si="5">K6+K27+K48</f>
        <v>3</v>
      </c>
      <c r="J69" s="1"/>
      <c r="K69" s="1"/>
    </row>
    <row r="70" spans="1:11" x14ac:dyDescent="0.15">
      <c r="A70" s="15">
        <v>3</v>
      </c>
      <c r="B70" s="16" t="s">
        <v>12</v>
      </c>
      <c r="C70" s="15">
        <f t="shared" si="3"/>
        <v>2</v>
      </c>
      <c r="D70" s="15">
        <f t="shared" si="3"/>
        <v>10</v>
      </c>
      <c r="E70" s="1"/>
      <c r="F70" s="15">
        <v>3</v>
      </c>
      <c r="G70" s="16" t="s">
        <v>13</v>
      </c>
      <c r="H70" s="15">
        <f t="shared" si="4"/>
        <v>5</v>
      </c>
      <c r="I70" s="15">
        <f t="shared" si="5"/>
        <v>0</v>
      </c>
      <c r="J70" s="1"/>
      <c r="K70" s="1"/>
    </row>
    <row r="71" spans="1:11" x14ac:dyDescent="0.15">
      <c r="A71" s="15">
        <v>4</v>
      </c>
      <c r="B71" s="16" t="s">
        <v>14</v>
      </c>
      <c r="C71" s="15">
        <f t="shared" si="3"/>
        <v>1</v>
      </c>
      <c r="D71" s="15">
        <f t="shared" si="3"/>
        <v>3</v>
      </c>
      <c r="E71" s="1"/>
      <c r="F71" s="15">
        <v>4</v>
      </c>
      <c r="G71" s="16" t="s">
        <v>15</v>
      </c>
      <c r="H71" s="15">
        <f t="shared" si="4"/>
        <v>2</v>
      </c>
      <c r="I71" s="15">
        <f t="shared" si="5"/>
        <v>2</v>
      </c>
      <c r="J71" s="1"/>
      <c r="K71" s="1"/>
    </row>
    <row r="72" spans="1:11" x14ac:dyDescent="0.15">
      <c r="A72" s="15">
        <v>5</v>
      </c>
      <c r="B72" s="16" t="s">
        <v>16</v>
      </c>
      <c r="C72" s="15">
        <f t="shared" si="3"/>
        <v>9</v>
      </c>
      <c r="D72" s="15">
        <f t="shared" si="3"/>
        <v>5</v>
      </c>
      <c r="E72" s="1"/>
      <c r="F72" s="15">
        <v>5</v>
      </c>
      <c r="G72" s="16" t="s">
        <v>17</v>
      </c>
      <c r="H72" s="15">
        <f t="shared" si="4"/>
        <v>6</v>
      </c>
      <c r="I72" s="15">
        <f t="shared" si="5"/>
        <v>1</v>
      </c>
      <c r="J72" s="1"/>
      <c r="K72" s="1"/>
    </row>
    <row r="73" spans="1:11" x14ac:dyDescent="0.15">
      <c r="A73" s="15">
        <v>6</v>
      </c>
      <c r="B73" s="16" t="s">
        <v>18</v>
      </c>
      <c r="C73" s="15">
        <f t="shared" si="3"/>
        <v>2</v>
      </c>
      <c r="D73" s="15">
        <f t="shared" si="3"/>
        <v>3</v>
      </c>
      <c r="E73" s="1"/>
      <c r="F73" s="15">
        <v>6</v>
      </c>
      <c r="G73" s="16" t="s">
        <v>19</v>
      </c>
      <c r="H73" s="15">
        <f t="shared" si="4"/>
        <v>7</v>
      </c>
      <c r="I73" s="15">
        <f t="shared" si="5"/>
        <v>2</v>
      </c>
      <c r="J73" s="1"/>
      <c r="K73" s="1"/>
    </row>
    <row r="74" spans="1:11" x14ac:dyDescent="0.15">
      <c r="A74" s="15">
        <v>7</v>
      </c>
      <c r="B74" s="16" t="s">
        <v>20</v>
      </c>
      <c r="C74" s="15">
        <f t="shared" ref="C74:C82" si="6">E11+E32+E53</f>
        <v>1</v>
      </c>
      <c r="D74" s="15">
        <f t="shared" ref="D74:D82" si="7">F11+F32+F53</f>
        <v>2</v>
      </c>
      <c r="E74" s="1"/>
      <c r="F74" s="15">
        <v>7</v>
      </c>
      <c r="G74" s="16" t="s">
        <v>21</v>
      </c>
      <c r="H74" s="15">
        <f t="shared" si="4"/>
        <v>3</v>
      </c>
      <c r="I74" s="15">
        <f t="shared" si="5"/>
        <v>3</v>
      </c>
      <c r="J74" s="1"/>
      <c r="K74" s="1"/>
    </row>
    <row r="75" spans="1:11" x14ac:dyDescent="0.15">
      <c r="A75" s="15">
        <v>8</v>
      </c>
      <c r="B75" s="16" t="s">
        <v>22</v>
      </c>
      <c r="C75" s="15">
        <f t="shared" si="6"/>
        <v>2</v>
      </c>
      <c r="D75" s="15">
        <f t="shared" si="7"/>
        <v>6</v>
      </c>
      <c r="E75" s="1"/>
      <c r="F75" s="15">
        <v>8</v>
      </c>
      <c r="G75" s="16" t="s">
        <v>22</v>
      </c>
      <c r="H75" s="15">
        <f t="shared" si="4"/>
        <v>1</v>
      </c>
      <c r="I75" s="15">
        <f t="shared" si="5"/>
        <v>2</v>
      </c>
      <c r="J75" s="1"/>
      <c r="K75" s="1"/>
    </row>
    <row r="76" spans="1:11" x14ac:dyDescent="0.15">
      <c r="A76" s="15">
        <v>9</v>
      </c>
      <c r="B76" s="16" t="s">
        <v>21</v>
      </c>
      <c r="C76" s="15">
        <f t="shared" si="6"/>
        <v>3</v>
      </c>
      <c r="D76" s="15">
        <f t="shared" si="7"/>
        <v>1</v>
      </c>
      <c r="E76" s="1"/>
      <c r="F76" s="15">
        <v>9</v>
      </c>
      <c r="G76" s="16" t="s">
        <v>20</v>
      </c>
      <c r="H76" s="15">
        <f t="shared" si="4"/>
        <v>5</v>
      </c>
      <c r="I76" s="15">
        <f t="shared" si="5"/>
        <v>8</v>
      </c>
      <c r="J76" s="1"/>
      <c r="K76" s="1"/>
    </row>
    <row r="77" spans="1:11" x14ac:dyDescent="0.15">
      <c r="A77" s="15">
        <v>10</v>
      </c>
      <c r="B77" s="16" t="s">
        <v>19</v>
      </c>
      <c r="C77" s="15">
        <f t="shared" si="6"/>
        <v>4</v>
      </c>
      <c r="D77" s="15">
        <f t="shared" si="7"/>
        <v>3</v>
      </c>
      <c r="E77" s="1"/>
      <c r="F77" s="15">
        <v>10</v>
      </c>
      <c r="G77" s="16" t="s">
        <v>18</v>
      </c>
      <c r="H77" s="15">
        <f t="shared" si="4"/>
        <v>1</v>
      </c>
      <c r="I77" s="15">
        <f t="shared" si="5"/>
        <v>2</v>
      </c>
      <c r="J77" s="1"/>
      <c r="K77" s="1"/>
    </row>
    <row r="78" spans="1:11" x14ac:dyDescent="0.15">
      <c r="A78" s="15">
        <v>11</v>
      </c>
      <c r="B78" s="16" t="s">
        <v>17</v>
      </c>
      <c r="C78" s="15">
        <f t="shared" si="6"/>
        <v>4</v>
      </c>
      <c r="D78" s="15">
        <f t="shared" si="7"/>
        <v>2</v>
      </c>
      <c r="E78" s="1"/>
      <c r="F78" s="15">
        <v>11</v>
      </c>
      <c r="G78" s="16" t="s">
        <v>16</v>
      </c>
      <c r="H78" s="15">
        <f t="shared" si="4"/>
        <v>2</v>
      </c>
      <c r="I78" s="15">
        <f t="shared" si="5"/>
        <v>6</v>
      </c>
      <c r="J78" s="1"/>
      <c r="K78" s="1"/>
    </row>
    <row r="79" spans="1:11" x14ac:dyDescent="0.15">
      <c r="A79" s="15">
        <v>12</v>
      </c>
      <c r="B79" s="16" t="s">
        <v>15</v>
      </c>
      <c r="C79" s="15">
        <f t="shared" si="6"/>
        <v>0</v>
      </c>
      <c r="D79" s="15">
        <f t="shared" si="7"/>
        <v>4</v>
      </c>
      <c r="E79" s="1"/>
      <c r="F79" s="15">
        <v>12</v>
      </c>
      <c r="G79" s="16" t="s">
        <v>14</v>
      </c>
      <c r="H79" s="15">
        <f t="shared" si="4"/>
        <v>5</v>
      </c>
      <c r="I79" s="15">
        <f t="shared" si="5"/>
        <v>11</v>
      </c>
      <c r="J79" s="1"/>
      <c r="K79" s="1"/>
    </row>
    <row r="80" spans="1:11" x14ac:dyDescent="0.15">
      <c r="A80" s="15">
        <v>13</v>
      </c>
      <c r="B80" s="16" t="s">
        <v>13</v>
      </c>
      <c r="C80" s="15">
        <f t="shared" si="6"/>
        <v>1</v>
      </c>
      <c r="D80" s="15">
        <f t="shared" si="7"/>
        <v>4</v>
      </c>
      <c r="E80" s="1"/>
      <c r="F80" s="15">
        <v>13</v>
      </c>
      <c r="G80" s="16" t="s">
        <v>12</v>
      </c>
      <c r="H80" s="15">
        <f t="shared" si="4"/>
        <v>6</v>
      </c>
      <c r="I80" s="15">
        <f t="shared" si="5"/>
        <v>6</v>
      </c>
      <c r="J80" s="1"/>
      <c r="K80" s="1"/>
    </row>
    <row r="81" spans="1:11" x14ac:dyDescent="0.15">
      <c r="A81" s="15">
        <v>14</v>
      </c>
      <c r="B81" s="16" t="s">
        <v>11</v>
      </c>
      <c r="C81" s="15">
        <f t="shared" si="6"/>
        <v>5</v>
      </c>
      <c r="D81" s="15">
        <f t="shared" si="7"/>
        <v>1</v>
      </c>
      <c r="E81" s="1"/>
      <c r="F81" s="15">
        <v>14</v>
      </c>
      <c r="G81" s="16" t="s">
        <v>10</v>
      </c>
      <c r="H81" s="15">
        <f t="shared" si="4"/>
        <v>4</v>
      </c>
      <c r="I81" s="15">
        <f t="shared" si="5"/>
        <v>4</v>
      </c>
      <c r="J81" s="1"/>
      <c r="K81" s="1"/>
    </row>
    <row r="82" spans="1:11" x14ac:dyDescent="0.15">
      <c r="A82" s="15">
        <v>15</v>
      </c>
      <c r="B82" s="16" t="s">
        <v>9</v>
      </c>
      <c r="C82" s="15">
        <f t="shared" si="6"/>
        <v>0</v>
      </c>
      <c r="D82" s="15">
        <f t="shared" si="7"/>
        <v>9</v>
      </c>
      <c r="E82" s="1"/>
      <c r="F82" s="15">
        <v>15</v>
      </c>
      <c r="G82" s="16" t="s">
        <v>9</v>
      </c>
      <c r="H82" s="15">
        <f t="shared" si="4"/>
        <v>0</v>
      </c>
      <c r="I82" s="15">
        <f t="shared" si="5"/>
        <v>4</v>
      </c>
      <c r="J82" s="1"/>
      <c r="K82" s="1"/>
    </row>
    <row r="83" spans="1:11" x14ac:dyDescent="0.15">
      <c r="A83" s="15" t="s">
        <v>34</v>
      </c>
      <c r="B83" s="15"/>
      <c r="C83" s="15">
        <f>SUM(C68:C82)</f>
        <v>56</v>
      </c>
      <c r="D83" s="15">
        <f>SUM(D68:D82)</f>
        <v>56</v>
      </c>
      <c r="E83" s="1"/>
      <c r="F83" s="15"/>
      <c r="G83" s="15"/>
      <c r="H83" s="15">
        <f>SUM(H68:H82)</f>
        <v>54</v>
      </c>
      <c r="I83" s="15">
        <f>SUM(I68:I82)</f>
        <v>54</v>
      </c>
      <c r="J83" s="1"/>
      <c r="K83" s="1"/>
    </row>
    <row r="84" spans="1:1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15">
      <c r="A106" s="18" t="s">
        <v>35</v>
      </c>
      <c r="B106" s="18" t="s">
        <v>36</v>
      </c>
      <c r="C106" s="1"/>
      <c r="D106" s="1"/>
      <c r="E106" s="18" t="s">
        <v>37</v>
      </c>
      <c r="F106" s="18" t="s">
        <v>36</v>
      </c>
      <c r="G106" s="1"/>
      <c r="H106" s="1"/>
      <c r="I106" s="1"/>
      <c r="J106" s="1"/>
      <c r="K106" s="1"/>
    </row>
    <row r="107" spans="1:11" x14ac:dyDescent="0.15">
      <c r="A107" s="19" t="s">
        <v>9</v>
      </c>
      <c r="B107" s="18">
        <f>C68-D68</f>
        <v>7</v>
      </c>
      <c r="C107" s="1"/>
      <c r="D107" s="1"/>
      <c r="E107" s="19" t="s">
        <v>9</v>
      </c>
      <c r="F107" s="18">
        <f>H68-I68</f>
        <v>7</v>
      </c>
      <c r="G107" s="1"/>
      <c r="H107" s="1"/>
      <c r="I107" s="1"/>
      <c r="J107" s="1"/>
      <c r="K107" s="1"/>
    </row>
    <row r="108" spans="1:11" x14ac:dyDescent="0.15">
      <c r="A108" s="19" t="s">
        <v>10</v>
      </c>
      <c r="B108" s="18">
        <f>B107+C69-D69</f>
        <v>19</v>
      </c>
      <c r="C108" s="1"/>
      <c r="D108" s="1"/>
      <c r="E108" s="19" t="s">
        <v>11</v>
      </c>
      <c r="F108" s="18">
        <f>F107+H69-I69</f>
        <v>4</v>
      </c>
      <c r="G108" s="1"/>
      <c r="H108" s="1"/>
      <c r="I108" s="1"/>
      <c r="J108" s="1"/>
      <c r="K108" s="1"/>
    </row>
    <row r="109" spans="1:11" x14ac:dyDescent="0.15">
      <c r="A109" s="19" t="s">
        <v>12</v>
      </c>
      <c r="B109" s="18">
        <f t="shared" ref="B109:B121" si="8">B108+C70-D70</f>
        <v>11</v>
      </c>
      <c r="C109" s="1"/>
      <c r="D109" s="1"/>
      <c r="E109" s="19" t="s">
        <v>13</v>
      </c>
      <c r="F109" s="18">
        <f t="shared" ref="F109:F121" si="9">F108+H70-I70</f>
        <v>9</v>
      </c>
      <c r="G109" s="1"/>
      <c r="H109" s="1"/>
      <c r="I109" s="1"/>
      <c r="J109" s="1"/>
      <c r="K109" s="1"/>
    </row>
    <row r="110" spans="1:11" x14ac:dyDescent="0.15">
      <c r="A110" s="19" t="s">
        <v>14</v>
      </c>
      <c r="B110" s="18">
        <f t="shared" si="8"/>
        <v>9</v>
      </c>
      <c r="C110" s="1"/>
      <c r="D110" s="1"/>
      <c r="E110" s="19" t="s">
        <v>15</v>
      </c>
      <c r="F110" s="18">
        <f t="shared" si="9"/>
        <v>9</v>
      </c>
      <c r="G110" s="1"/>
      <c r="H110" s="1"/>
      <c r="I110" s="1"/>
      <c r="J110" s="1"/>
      <c r="K110" s="1"/>
    </row>
    <row r="111" spans="1:11" x14ac:dyDescent="0.15">
      <c r="A111" s="19" t="s">
        <v>16</v>
      </c>
      <c r="B111" s="18">
        <f t="shared" si="8"/>
        <v>13</v>
      </c>
      <c r="C111" s="1"/>
      <c r="D111" s="1"/>
      <c r="E111" s="19" t="s">
        <v>17</v>
      </c>
      <c r="F111" s="18">
        <f t="shared" si="9"/>
        <v>14</v>
      </c>
      <c r="G111" s="1"/>
      <c r="H111" s="1"/>
      <c r="I111" s="1"/>
      <c r="J111" s="1"/>
      <c r="K111" s="1"/>
    </row>
    <row r="112" spans="1:11" x14ac:dyDescent="0.15">
      <c r="A112" s="19" t="s">
        <v>18</v>
      </c>
      <c r="B112" s="18">
        <f t="shared" si="8"/>
        <v>12</v>
      </c>
      <c r="C112" s="1"/>
      <c r="D112" s="1"/>
      <c r="E112" s="19" t="s">
        <v>19</v>
      </c>
      <c r="F112" s="18">
        <f t="shared" si="9"/>
        <v>19</v>
      </c>
      <c r="G112" s="1"/>
      <c r="H112" s="1"/>
      <c r="I112" s="1"/>
      <c r="J112" s="1"/>
      <c r="K112" s="1"/>
    </row>
    <row r="113" spans="1:11" x14ac:dyDescent="0.15">
      <c r="A113" s="19" t="s">
        <v>20</v>
      </c>
      <c r="B113" s="18">
        <f t="shared" si="8"/>
        <v>11</v>
      </c>
      <c r="C113" s="1"/>
      <c r="D113" s="1"/>
      <c r="E113" s="19" t="s">
        <v>21</v>
      </c>
      <c r="F113" s="18">
        <f t="shared" si="9"/>
        <v>19</v>
      </c>
      <c r="G113" s="1"/>
      <c r="H113" s="1"/>
      <c r="I113" s="1"/>
      <c r="J113" s="1"/>
      <c r="K113" s="1"/>
    </row>
    <row r="114" spans="1:11" x14ac:dyDescent="0.15">
      <c r="A114" s="19" t="s">
        <v>22</v>
      </c>
      <c r="B114" s="18">
        <f t="shared" si="8"/>
        <v>7</v>
      </c>
      <c r="C114" s="1"/>
      <c r="D114" s="1"/>
      <c r="E114" s="19" t="s">
        <v>22</v>
      </c>
      <c r="F114" s="18">
        <f t="shared" si="9"/>
        <v>18</v>
      </c>
      <c r="G114" s="1"/>
      <c r="H114" s="1"/>
      <c r="I114" s="1"/>
      <c r="J114" s="1"/>
      <c r="K114" s="1"/>
    </row>
    <row r="115" spans="1:11" x14ac:dyDescent="0.15">
      <c r="A115" s="19" t="s">
        <v>21</v>
      </c>
      <c r="B115" s="18">
        <f t="shared" si="8"/>
        <v>9</v>
      </c>
      <c r="C115" s="1"/>
      <c r="D115" s="1"/>
      <c r="E115" s="19" t="s">
        <v>20</v>
      </c>
      <c r="F115" s="18">
        <f t="shared" si="9"/>
        <v>15</v>
      </c>
      <c r="G115" s="1"/>
      <c r="H115" s="1"/>
      <c r="I115" s="1"/>
      <c r="J115" s="1"/>
      <c r="K115" s="1"/>
    </row>
    <row r="116" spans="1:11" x14ac:dyDescent="0.15">
      <c r="A116" s="19" t="s">
        <v>19</v>
      </c>
      <c r="B116" s="18">
        <f t="shared" si="8"/>
        <v>10</v>
      </c>
      <c r="C116" s="1"/>
      <c r="D116" s="1"/>
      <c r="E116" s="19" t="s">
        <v>18</v>
      </c>
      <c r="F116" s="18">
        <f t="shared" si="9"/>
        <v>14</v>
      </c>
      <c r="G116" s="1"/>
      <c r="H116" s="1"/>
      <c r="I116" s="1"/>
      <c r="J116" s="1"/>
      <c r="K116" s="1"/>
    </row>
    <row r="117" spans="1:11" x14ac:dyDescent="0.15">
      <c r="A117" s="19" t="s">
        <v>17</v>
      </c>
      <c r="B117" s="18">
        <f t="shared" si="8"/>
        <v>12</v>
      </c>
      <c r="C117" s="1"/>
      <c r="D117" s="1"/>
      <c r="E117" s="19" t="s">
        <v>16</v>
      </c>
      <c r="F117" s="18">
        <f t="shared" si="9"/>
        <v>10</v>
      </c>
      <c r="G117" s="1"/>
      <c r="H117" s="1"/>
      <c r="I117" s="1"/>
      <c r="J117" s="1"/>
      <c r="K117" s="1"/>
    </row>
    <row r="118" spans="1:11" x14ac:dyDescent="0.15">
      <c r="A118" s="19" t="s">
        <v>15</v>
      </c>
      <c r="B118" s="18">
        <f t="shared" si="8"/>
        <v>8</v>
      </c>
      <c r="C118" s="1"/>
      <c r="D118" s="1"/>
      <c r="E118" s="19" t="s">
        <v>14</v>
      </c>
      <c r="F118" s="18">
        <f t="shared" si="9"/>
        <v>4</v>
      </c>
      <c r="G118" s="1"/>
      <c r="H118" s="1"/>
      <c r="I118" s="1"/>
      <c r="J118" s="1"/>
      <c r="K118" s="1"/>
    </row>
    <row r="119" spans="1:11" x14ac:dyDescent="0.15">
      <c r="A119" s="19" t="s">
        <v>13</v>
      </c>
      <c r="B119" s="18">
        <f t="shared" si="8"/>
        <v>5</v>
      </c>
      <c r="C119" s="1"/>
      <c r="D119" s="1"/>
      <c r="E119" s="19" t="s">
        <v>12</v>
      </c>
      <c r="F119" s="18">
        <f t="shared" si="9"/>
        <v>4</v>
      </c>
      <c r="G119" s="1"/>
      <c r="H119" s="1"/>
      <c r="I119" s="1"/>
      <c r="J119" s="1"/>
      <c r="K119" s="1"/>
    </row>
    <row r="120" spans="1:11" x14ac:dyDescent="0.15">
      <c r="A120" s="19" t="s">
        <v>11</v>
      </c>
      <c r="B120" s="18">
        <f t="shared" si="8"/>
        <v>9</v>
      </c>
      <c r="C120" s="1"/>
      <c r="D120" s="1"/>
      <c r="E120" s="19" t="s">
        <v>10</v>
      </c>
      <c r="F120" s="18">
        <f t="shared" si="9"/>
        <v>4</v>
      </c>
      <c r="G120" s="1"/>
      <c r="H120" s="1"/>
      <c r="I120" s="1"/>
      <c r="J120" s="1"/>
      <c r="K120" s="1"/>
    </row>
    <row r="121" spans="1:11" x14ac:dyDescent="0.15">
      <c r="A121" s="19" t="s">
        <v>9</v>
      </c>
      <c r="B121" s="18">
        <f t="shared" si="8"/>
        <v>0</v>
      </c>
      <c r="C121" s="1"/>
      <c r="D121" s="1"/>
      <c r="E121" s="19" t="s">
        <v>9</v>
      </c>
      <c r="F121" s="18">
        <f t="shared" si="9"/>
        <v>0</v>
      </c>
      <c r="G121" s="1"/>
      <c r="H121" s="1"/>
      <c r="I121" s="1"/>
      <c r="J121" s="1"/>
      <c r="K121" s="1"/>
    </row>
    <row r="122" spans="1:11" x14ac:dyDescent="0.15">
      <c r="A122" s="5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15">
      <c r="A123" s="5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15">
      <c r="A124" s="5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15">
      <c r="A125" s="1" t="s">
        <v>38</v>
      </c>
      <c r="B125" s="1" t="s">
        <v>7</v>
      </c>
      <c r="C125" s="1" t="s">
        <v>8</v>
      </c>
      <c r="D125" s="1" t="s">
        <v>7</v>
      </c>
      <c r="E125" s="1" t="s">
        <v>8</v>
      </c>
      <c r="F125" s="1" t="s">
        <v>7</v>
      </c>
      <c r="G125" s="1" t="s">
        <v>8</v>
      </c>
      <c r="H125" s="6" t="s">
        <v>39</v>
      </c>
      <c r="I125" s="6" t="s">
        <v>40</v>
      </c>
      <c r="J125" s="6" t="s">
        <v>41</v>
      </c>
      <c r="K125" s="6" t="s">
        <v>42</v>
      </c>
    </row>
    <row r="126" spans="1:11" x14ac:dyDescent="0.15">
      <c r="A126" s="2" t="s">
        <v>9</v>
      </c>
      <c r="B126" s="1">
        <v>3</v>
      </c>
      <c r="C126" s="1">
        <v>0</v>
      </c>
      <c r="D126" s="1">
        <v>2</v>
      </c>
      <c r="E126" s="1">
        <v>0</v>
      </c>
      <c r="F126" s="1">
        <v>2</v>
      </c>
      <c r="G126" s="1">
        <v>0</v>
      </c>
      <c r="H126" s="7">
        <f>(B126+D126+F126)/3</f>
        <v>2.3333333333333335</v>
      </c>
      <c r="I126" s="7">
        <f>(C126+E126+G126)/3</f>
        <v>0</v>
      </c>
      <c r="J126" s="7">
        <f>H126-I126</f>
        <v>2.3333333333333335</v>
      </c>
      <c r="K126" s="8">
        <f>B107</f>
        <v>7</v>
      </c>
    </row>
    <row r="127" spans="1:11" x14ac:dyDescent="0.15">
      <c r="A127" s="2" t="s">
        <v>10</v>
      </c>
      <c r="B127" s="1">
        <v>5</v>
      </c>
      <c r="C127" s="1">
        <v>1</v>
      </c>
      <c r="D127" s="1">
        <v>6</v>
      </c>
      <c r="E127" s="1">
        <v>1</v>
      </c>
      <c r="F127" s="1">
        <v>4</v>
      </c>
      <c r="G127" s="1">
        <v>1</v>
      </c>
      <c r="H127" s="7">
        <f t="shared" ref="H127:H140" si="10">(B127+D127+F127)/3</f>
        <v>5</v>
      </c>
      <c r="I127" s="7">
        <f t="shared" ref="I127:I140" si="11">(C127+E127+G127)/3</f>
        <v>1</v>
      </c>
      <c r="J127" s="7">
        <f>J126+H127-I127</f>
        <v>6.3333333333333339</v>
      </c>
      <c r="K127" s="8">
        <f t="shared" ref="K127:K140" si="12">B108</f>
        <v>19</v>
      </c>
    </row>
    <row r="128" spans="1:11" x14ac:dyDescent="0.15">
      <c r="A128" s="2" t="s">
        <v>12</v>
      </c>
      <c r="B128" s="1">
        <v>0</v>
      </c>
      <c r="C128" s="1">
        <v>1</v>
      </c>
      <c r="D128" s="1">
        <v>1</v>
      </c>
      <c r="E128" s="1">
        <v>7</v>
      </c>
      <c r="F128" s="1">
        <v>1</v>
      </c>
      <c r="G128" s="1">
        <v>2</v>
      </c>
      <c r="H128" s="7">
        <f t="shared" si="10"/>
        <v>0.66666666666666663</v>
      </c>
      <c r="I128" s="7">
        <f t="shared" si="11"/>
        <v>3.3333333333333335</v>
      </c>
      <c r="J128" s="7">
        <f t="shared" ref="J128:J140" si="13">J127+H128-I128</f>
        <v>3.6666666666666674</v>
      </c>
      <c r="K128" s="8">
        <f t="shared" si="12"/>
        <v>11</v>
      </c>
    </row>
    <row r="129" spans="1:11" x14ac:dyDescent="0.15">
      <c r="A129" s="2" t="s">
        <v>14</v>
      </c>
      <c r="B129" s="1">
        <v>1</v>
      </c>
      <c r="C129" s="1">
        <v>2</v>
      </c>
      <c r="D129" s="1">
        <v>0</v>
      </c>
      <c r="E129" s="1">
        <v>0</v>
      </c>
      <c r="F129" s="1">
        <v>0</v>
      </c>
      <c r="G129" s="1">
        <v>1</v>
      </c>
      <c r="H129" s="7">
        <f t="shared" si="10"/>
        <v>0.33333333333333331</v>
      </c>
      <c r="I129" s="7">
        <f t="shared" si="11"/>
        <v>1</v>
      </c>
      <c r="J129" s="7">
        <f t="shared" si="13"/>
        <v>3.0000000000000009</v>
      </c>
      <c r="K129" s="8">
        <f t="shared" si="12"/>
        <v>9</v>
      </c>
    </row>
    <row r="130" spans="1:11" x14ac:dyDescent="0.15">
      <c r="A130" s="2" t="s">
        <v>16</v>
      </c>
      <c r="B130" s="1">
        <v>3</v>
      </c>
      <c r="C130" s="1">
        <v>0</v>
      </c>
      <c r="D130" s="1">
        <v>3</v>
      </c>
      <c r="E130" s="1">
        <v>2</v>
      </c>
      <c r="F130" s="1">
        <v>3</v>
      </c>
      <c r="G130" s="1">
        <v>3</v>
      </c>
      <c r="H130" s="7">
        <f t="shared" si="10"/>
        <v>3</v>
      </c>
      <c r="I130" s="7">
        <f t="shared" si="11"/>
        <v>1.6666666666666667</v>
      </c>
      <c r="J130" s="7">
        <f t="shared" si="13"/>
        <v>4.3333333333333339</v>
      </c>
      <c r="K130" s="8">
        <f t="shared" si="12"/>
        <v>13</v>
      </c>
    </row>
    <row r="131" spans="1:11" x14ac:dyDescent="0.15">
      <c r="A131" s="2" t="s">
        <v>18</v>
      </c>
      <c r="B131" s="1">
        <v>1</v>
      </c>
      <c r="C131" s="1">
        <v>3</v>
      </c>
      <c r="D131" s="1">
        <v>1</v>
      </c>
      <c r="E131" s="1">
        <v>0</v>
      </c>
      <c r="F131" s="1">
        <v>0</v>
      </c>
      <c r="G131" s="1">
        <v>0</v>
      </c>
      <c r="H131" s="7">
        <f t="shared" si="10"/>
        <v>0.66666666666666663</v>
      </c>
      <c r="I131" s="7">
        <f t="shared" si="11"/>
        <v>1</v>
      </c>
      <c r="J131" s="7">
        <f t="shared" si="13"/>
        <v>4.0000000000000009</v>
      </c>
      <c r="K131" s="8">
        <f t="shared" si="12"/>
        <v>12</v>
      </c>
    </row>
    <row r="132" spans="1:11" x14ac:dyDescent="0.15">
      <c r="A132" s="2" t="s">
        <v>20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2</v>
      </c>
      <c r="H132" s="7">
        <f t="shared" si="10"/>
        <v>0.33333333333333331</v>
      </c>
      <c r="I132" s="7">
        <f t="shared" si="11"/>
        <v>0.66666666666666663</v>
      </c>
      <c r="J132" s="7">
        <f t="shared" si="13"/>
        <v>3.6666666666666674</v>
      </c>
      <c r="K132" s="8">
        <f t="shared" si="12"/>
        <v>11</v>
      </c>
    </row>
    <row r="133" spans="1:11" x14ac:dyDescent="0.15">
      <c r="A133" s="2" t="s">
        <v>22</v>
      </c>
      <c r="B133" s="1">
        <v>1</v>
      </c>
      <c r="C133" s="1">
        <v>4</v>
      </c>
      <c r="D133" s="1">
        <v>1</v>
      </c>
      <c r="E133" s="1">
        <v>1</v>
      </c>
      <c r="F133" s="1">
        <v>0</v>
      </c>
      <c r="G133" s="1">
        <v>1</v>
      </c>
      <c r="H133" s="7">
        <f t="shared" si="10"/>
        <v>0.66666666666666663</v>
      </c>
      <c r="I133" s="7">
        <f t="shared" si="11"/>
        <v>2</v>
      </c>
      <c r="J133" s="7">
        <f t="shared" si="13"/>
        <v>2.3333333333333339</v>
      </c>
      <c r="K133" s="8">
        <f t="shared" si="12"/>
        <v>7</v>
      </c>
    </row>
    <row r="134" spans="1:11" x14ac:dyDescent="0.15">
      <c r="A134" s="2" t="s">
        <v>21</v>
      </c>
      <c r="B134" s="1">
        <v>1</v>
      </c>
      <c r="C134" s="1">
        <v>0</v>
      </c>
      <c r="D134" s="1">
        <v>0</v>
      </c>
      <c r="E134" s="1">
        <v>1</v>
      </c>
      <c r="F134" s="1">
        <v>2</v>
      </c>
      <c r="G134" s="1">
        <v>0</v>
      </c>
      <c r="H134" s="7">
        <f t="shared" si="10"/>
        <v>1</v>
      </c>
      <c r="I134" s="7">
        <f t="shared" si="11"/>
        <v>0.33333333333333331</v>
      </c>
      <c r="J134" s="7">
        <f t="shared" si="13"/>
        <v>3.0000000000000004</v>
      </c>
      <c r="K134" s="8">
        <f t="shared" si="12"/>
        <v>9</v>
      </c>
    </row>
    <row r="135" spans="1:11" x14ac:dyDescent="0.15">
      <c r="A135" s="2" t="s">
        <v>19</v>
      </c>
      <c r="B135" s="1">
        <v>2</v>
      </c>
      <c r="C135" s="1">
        <v>2</v>
      </c>
      <c r="D135" s="1">
        <v>2</v>
      </c>
      <c r="E135" s="1">
        <v>0</v>
      </c>
      <c r="F135" s="1">
        <v>0</v>
      </c>
      <c r="G135" s="1">
        <v>1</v>
      </c>
      <c r="H135" s="7">
        <f t="shared" si="10"/>
        <v>1.3333333333333333</v>
      </c>
      <c r="I135" s="7">
        <f t="shared" si="11"/>
        <v>1</v>
      </c>
      <c r="J135" s="7">
        <f t="shared" si="13"/>
        <v>3.3333333333333339</v>
      </c>
      <c r="K135" s="8">
        <f t="shared" si="12"/>
        <v>10</v>
      </c>
    </row>
    <row r="136" spans="1:11" x14ac:dyDescent="0.15">
      <c r="A136" s="2" t="s">
        <v>17</v>
      </c>
      <c r="B136" s="1">
        <v>2</v>
      </c>
      <c r="C136" s="1">
        <v>0</v>
      </c>
      <c r="D136" s="1">
        <v>0</v>
      </c>
      <c r="E136" s="1">
        <v>2</v>
      </c>
      <c r="F136" s="1">
        <v>2</v>
      </c>
      <c r="G136" s="1">
        <v>0</v>
      </c>
      <c r="H136" s="7">
        <f t="shared" si="10"/>
        <v>1.3333333333333333</v>
      </c>
      <c r="I136" s="7">
        <f t="shared" si="11"/>
        <v>0.66666666666666663</v>
      </c>
      <c r="J136" s="7">
        <f t="shared" si="13"/>
        <v>4</v>
      </c>
      <c r="K136" s="8">
        <f t="shared" si="12"/>
        <v>12</v>
      </c>
    </row>
    <row r="137" spans="1:11" x14ac:dyDescent="0.15">
      <c r="A137" s="2" t="s">
        <v>15</v>
      </c>
      <c r="B137" s="1">
        <v>0</v>
      </c>
      <c r="C137" s="1">
        <v>2</v>
      </c>
      <c r="D137" s="1">
        <v>0</v>
      </c>
      <c r="E137" s="1">
        <v>1</v>
      </c>
      <c r="F137" s="1">
        <v>0</v>
      </c>
      <c r="G137" s="1">
        <v>1</v>
      </c>
      <c r="H137" s="7">
        <f t="shared" si="10"/>
        <v>0</v>
      </c>
      <c r="I137" s="7">
        <f t="shared" si="11"/>
        <v>1.3333333333333333</v>
      </c>
      <c r="J137" s="7">
        <f t="shared" si="13"/>
        <v>2.666666666666667</v>
      </c>
      <c r="K137" s="8">
        <f t="shared" si="12"/>
        <v>8</v>
      </c>
    </row>
    <row r="138" spans="1:11" x14ac:dyDescent="0.15">
      <c r="A138" s="2" t="s">
        <v>13</v>
      </c>
      <c r="B138" s="1">
        <v>0</v>
      </c>
      <c r="C138" s="1">
        <v>0</v>
      </c>
      <c r="D138" s="1">
        <v>0</v>
      </c>
      <c r="E138" s="1">
        <v>1</v>
      </c>
      <c r="F138" s="1">
        <v>1</v>
      </c>
      <c r="G138" s="1">
        <v>3</v>
      </c>
      <c r="H138" s="7">
        <f t="shared" si="10"/>
        <v>0.33333333333333331</v>
      </c>
      <c r="I138" s="7">
        <f t="shared" si="11"/>
        <v>1.3333333333333333</v>
      </c>
      <c r="J138" s="7">
        <f t="shared" si="13"/>
        <v>1.6666666666666672</v>
      </c>
      <c r="K138" s="8">
        <f t="shared" si="12"/>
        <v>5</v>
      </c>
    </row>
    <row r="139" spans="1:11" x14ac:dyDescent="0.15">
      <c r="A139" s="2" t="s">
        <v>11</v>
      </c>
      <c r="B139" s="1">
        <v>2</v>
      </c>
      <c r="C139" s="1">
        <v>1</v>
      </c>
      <c r="D139" s="1">
        <v>3</v>
      </c>
      <c r="E139" s="1">
        <v>0</v>
      </c>
      <c r="F139" s="1">
        <v>0</v>
      </c>
      <c r="G139" s="1">
        <v>0</v>
      </c>
      <c r="H139" s="7">
        <f t="shared" si="10"/>
        <v>1.6666666666666667</v>
      </c>
      <c r="I139" s="7">
        <f t="shared" si="11"/>
        <v>0.33333333333333331</v>
      </c>
      <c r="J139" s="7">
        <f t="shared" si="13"/>
        <v>3.0000000000000004</v>
      </c>
      <c r="K139" s="8">
        <f t="shared" si="12"/>
        <v>9</v>
      </c>
    </row>
    <row r="140" spans="1:11" x14ac:dyDescent="0.15">
      <c r="A140" s="2" t="s">
        <v>9</v>
      </c>
      <c r="B140" s="1">
        <v>0</v>
      </c>
      <c r="C140" s="1">
        <v>5</v>
      </c>
      <c r="D140" s="1">
        <v>0</v>
      </c>
      <c r="E140" s="1">
        <v>3</v>
      </c>
      <c r="F140" s="1">
        <v>0</v>
      </c>
      <c r="G140" s="1">
        <v>1</v>
      </c>
      <c r="H140" s="7">
        <f t="shared" si="10"/>
        <v>0</v>
      </c>
      <c r="I140" s="7">
        <f t="shared" si="11"/>
        <v>3</v>
      </c>
      <c r="J140" s="7">
        <f t="shared" si="13"/>
        <v>0</v>
      </c>
      <c r="K140" s="8">
        <f t="shared" si="12"/>
        <v>0</v>
      </c>
    </row>
    <row r="141" spans="1:11" x14ac:dyDescent="0.15">
      <c r="A141" s="1"/>
      <c r="B141" s="9"/>
      <c r="C141" s="9"/>
      <c r="D141" s="9"/>
      <c r="E141" s="9"/>
      <c r="F141" s="9"/>
      <c r="G141" s="9"/>
      <c r="H141" s="10"/>
      <c r="I141" s="10"/>
      <c r="J141" s="10"/>
      <c r="K141" s="9"/>
    </row>
    <row r="142" spans="1:11" x14ac:dyDescent="0.15">
      <c r="A142" s="1"/>
      <c r="B142" s="9"/>
      <c r="C142" s="9"/>
      <c r="D142" s="9"/>
      <c r="E142" s="9"/>
      <c r="F142" s="9"/>
      <c r="G142" s="9"/>
      <c r="H142" s="10"/>
      <c r="I142" s="10"/>
      <c r="J142" s="10"/>
      <c r="K142" s="9"/>
    </row>
    <row r="143" spans="1:11" x14ac:dyDescent="0.15">
      <c r="A143" s="1"/>
      <c r="B143" s="9"/>
      <c r="C143" s="9"/>
      <c r="D143" s="9"/>
      <c r="E143" s="9"/>
      <c r="F143" s="9"/>
      <c r="G143" s="9"/>
      <c r="H143" s="10"/>
      <c r="I143" s="10"/>
      <c r="J143" s="10"/>
      <c r="K143" s="9"/>
    </row>
    <row r="144" spans="1:11" x14ac:dyDescent="0.15">
      <c r="A144" s="1" t="s">
        <v>43</v>
      </c>
      <c r="B144" s="1" t="s">
        <v>7</v>
      </c>
      <c r="C144" s="1" t="s">
        <v>8</v>
      </c>
      <c r="D144" s="1" t="s">
        <v>7</v>
      </c>
      <c r="E144" s="1" t="s">
        <v>8</v>
      </c>
      <c r="F144" s="1" t="s">
        <v>7</v>
      </c>
      <c r="G144" s="1" t="s">
        <v>8</v>
      </c>
      <c r="H144" s="7" t="s">
        <v>39</v>
      </c>
      <c r="I144" s="7" t="s">
        <v>40</v>
      </c>
      <c r="J144" s="7" t="s">
        <v>41</v>
      </c>
      <c r="K144" s="8" t="s">
        <v>42</v>
      </c>
    </row>
    <row r="145" spans="1:11" x14ac:dyDescent="0.15">
      <c r="A145" s="2" t="s">
        <v>9</v>
      </c>
      <c r="B145" s="1">
        <v>4</v>
      </c>
      <c r="C145" s="1">
        <v>0</v>
      </c>
      <c r="D145" s="1">
        <v>1</v>
      </c>
      <c r="E145" s="1">
        <v>0</v>
      </c>
      <c r="F145" s="1">
        <v>2</v>
      </c>
      <c r="G145" s="1">
        <v>0</v>
      </c>
      <c r="H145" s="7">
        <f>(B145+D145+F145)/3</f>
        <v>2.3333333333333335</v>
      </c>
      <c r="I145" s="7">
        <f>(C145+E145+G145)/3</f>
        <v>0</v>
      </c>
      <c r="J145" s="7">
        <f>H145-I145</f>
        <v>2.3333333333333335</v>
      </c>
      <c r="K145" s="13">
        <f>F107</f>
        <v>7</v>
      </c>
    </row>
    <row r="146" spans="1:11" x14ac:dyDescent="0.15">
      <c r="A146" s="2" t="s">
        <v>11</v>
      </c>
      <c r="B146" s="1">
        <v>0</v>
      </c>
      <c r="C146" s="1">
        <v>1</v>
      </c>
      <c r="D146" s="1">
        <v>0</v>
      </c>
      <c r="E146" s="1">
        <v>1</v>
      </c>
      <c r="F146" s="1">
        <v>0</v>
      </c>
      <c r="G146" s="1">
        <v>1</v>
      </c>
      <c r="H146" s="7">
        <f t="shared" ref="H146:H159" si="14">(B146+D146+F146)/3</f>
        <v>0</v>
      </c>
      <c r="I146" s="7">
        <f t="shared" ref="I146:I159" si="15">(C146+E146+G146)/3</f>
        <v>1</v>
      </c>
      <c r="J146" s="7">
        <f>J145+H146-I146</f>
        <v>1.3333333333333335</v>
      </c>
      <c r="K146" s="13">
        <f t="shared" ref="K146:K159" si="16">F108</f>
        <v>4</v>
      </c>
    </row>
    <row r="147" spans="1:11" x14ac:dyDescent="0.15">
      <c r="A147" s="2" t="s">
        <v>13</v>
      </c>
      <c r="B147" s="1">
        <v>3</v>
      </c>
      <c r="C147" s="1">
        <v>0</v>
      </c>
      <c r="D147" s="1">
        <v>1</v>
      </c>
      <c r="E147" s="1">
        <v>0</v>
      </c>
      <c r="F147" s="1">
        <v>1</v>
      </c>
      <c r="G147" s="1">
        <v>0</v>
      </c>
      <c r="H147" s="7">
        <f t="shared" si="14"/>
        <v>1.6666666666666667</v>
      </c>
      <c r="I147" s="7">
        <f t="shared" si="15"/>
        <v>0</v>
      </c>
      <c r="J147" s="7">
        <f t="shared" ref="J147:J159" si="17">J146+H147-I147</f>
        <v>3</v>
      </c>
      <c r="K147" s="13">
        <f t="shared" si="16"/>
        <v>9</v>
      </c>
    </row>
    <row r="148" spans="1:11" x14ac:dyDescent="0.15">
      <c r="A148" s="2" t="s">
        <v>15</v>
      </c>
      <c r="B148" s="1">
        <v>1</v>
      </c>
      <c r="C148" s="1">
        <v>2</v>
      </c>
      <c r="D148" s="1">
        <v>0</v>
      </c>
      <c r="E148" s="1">
        <v>0</v>
      </c>
      <c r="F148" s="1">
        <v>1</v>
      </c>
      <c r="G148" s="1">
        <v>0</v>
      </c>
      <c r="H148" s="7">
        <f t="shared" si="14"/>
        <v>0.66666666666666663</v>
      </c>
      <c r="I148" s="7">
        <f t="shared" si="15"/>
        <v>0.66666666666666663</v>
      </c>
      <c r="J148" s="7">
        <f t="shared" si="17"/>
        <v>3</v>
      </c>
      <c r="K148" s="13">
        <f t="shared" si="16"/>
        <v>9</v>
      </c>
    </row>
    <row r="149" spans="1:11" x14ac:dyDescent="0.15">
      <c r="A149" s="2" t="s">
        <v>17</v>
      </c>
      <c r="B149" s="1">
        <v>2</v>
      </c>
      <c r="C149" s="1">
        <v>0</v>
      </c>
      <c r="D149" s="1">
        <v>3</v>
      </c>
      <c r="E149" s="1">
        <v>0</v>
      </c>
      <c r="F149" s="1">
        <v>1</v>
      </c>
      <c r="G149" s="1">
        <v>1</v>
      </c>
      <c r="H149" s="7">
        <f t="shared" si="14"/>
        <v>2</v>
      </c>
      <c r="I149" s="7">
        <f t="shared" si="15"/>
        <v>0.33333333333333331</v>
      </c>
      <c r="J149" s="7">
        <f t="shared" si="17"/>
        <v>4.666666666666667</v>
      </c>
      <c r="K149" s="13">
        <f t="shared" si="16"/>
        <v>14</v>
      </c>
    </row>
    <row r="150" spans="1:11" x14ac:dyDescent="0.15">
      <c r="A150" s="2" t="s">
        <v>19</v>
      </c>
      <c r="B150" s="1">
        <v>4</v>
      </c>
      <c r="C150" s="1">
        <v>1</v>
      </c>
      <c r="D150" s="1">
        <v>2</v>
      </c>
      <c r="E150" s="1">
        <v>1</v>
      </c>
      <c r="F150" s="1">
        <v>1</v>
      </c>
      <c r="G150" s="1">
        <v>0</v>
      </c>
      <c r="H150" s="7">
        <f t="shared" si="14"/>
        <v>2.3333333333333335</v>
      </c>
      <c r="I150" s="7">
        <f t="shared" si="15"/>
        <v>0.66666666666666663</v>
      </c>
      <c r="J150" s="7">
        <f t="shared" si="17"/>
        <v>6.333333333333333</v>
      </c>
      <c r="K150" s="13">
        <f t="shared" si="16"/>
        <v>19</v>
      </c>
    </row>
    <row r="151" spans="1:11" x14ac:dyDescent="0.15">
      <c r="A151" s="2" t="s">
        <v>21</v>
      </c>
      <c r="B151" s="1">
        <v>0</v>
      </c>
      <c r="C151" s="1">
        <v>1</v>
      </c>
      <c r="D151" s="1">
        <v>1</v>
      </c>
      <c r="E151" s="1">
        <v>1</v>
      </c>
      <c r="F151" s="1">
        <v>2</v>
      </c>
      <c r="G151" s="1">
        <v>1</v>
      </c>
      <c r="H151" s="7">
        <f t="shared" si="14"/>
        <v>1</v>
      </c>
      <c r="I151" s="7">
        <f t="shared" si="15"/>
        <v>1</v>
      </c>
      <c r="J151" s="7">
        <f t="shared" si="17"/>
        <v>6.333333333333333</v>
      </c>
      <c r="K151" s="13">
        <f t="shared" si="16"/>
        <v>19</v>
      </c>
    </row>
    <row r="152" spans="1:11" x14ac:dyDescent="0.15">
      <c r="A152" s="2" t="s">
        <v>22</v>
      </c>
      <c r="B152" s="1">
        <v>1</v>
      </c>
      <c r="C152" s="1">
        <v>2</v>
      </c>
      <c r="D152" s="1">
        <v>0</v>
      </c>
      <c r="E152" s="1">
        <v>0</v>
      </c>
      <c r="F152" s="1">
        <v>0</v>
      </c>
      <c r="G152" s="1">
        <v>0</v>
      </c>
      <c r="H152" s="7">
        <f t="shared" si="14"/>
        <v>0.33333333333333331</v>
      </c>
      <c r="I152" s="7">
        <f t="shared" si="15"/>
        <v>0.66666666666666663</v>
      </c>
      <c r="J152" s="7">
        <f t="shared" si="17"/>
        <v>5.9999999999999991</v>
      </c>
      <c r="K152" s="13">
        <f t="shared" si="16"/>
        <v>18</v>
      </c>
    </row>
    <row r="153" spans="1:11" x14ac:dyDescent="0.15">
      <c r="A153" s="2" t="s">
        <v>20</v>
      </c>
      <c r="B153" s="1">
        <v>2</v>
      </c>
      <c r="C153" s="1">
        <v>4</v>
      </c>
      <c r="D153" s="1">
        <v>2</v>
      </c>
      <c r="E153" s="1">
        <v>2</v>
      </c>
      <c r="F153" s="1">
        <v>1</v>
      </c>
      <c r="G153" s="1">
        <v>2</v>
      </c>
      <c r="H153" s="7">
        <f t="shared" si="14"/>
        <v>1.6666666666666667</v>
      </c>
      <c r="I153" s="7">
        <f t="shared" si="15"/>
        <v>2.6666666666666665</v>
      </c>
      <c r="J153" s="7">
        <f t="shared" si="17"/>
        <v>5</v>
      </c>
      <c r="K153" s="13">
        <f t="shared" si="16"/>
        <v>15</v>
      </c>
    </row>
    <row r="154" spans="1:11" x14ac:dyDescent="0.15">
      <c r="A154" s="2" t="s">
        <v>18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">
        <v>2</v>
      </c>
      <c r="H154" s="7">
        <f t="shared" si="14"/>
        <v>0.33333333333333331</v>
      </c>
      <c r="I154" s="7">
        <f t="shared" si="15"/>
        <v>0.66666666666666663</v>
      </c>
      <c r="J154" s="7">
        <f t="shared" si="17"/>
        <v>4.6666666666666661</v>
      </c>
      <c r="K154" s="13">
        <f t="shared" si="16"/>
        <v>14</v>
      </c>
    </row>
    <row r="155" spans="1:11" x14ac:dyDescent="0.15">
      <c r="A155" s="2" t="s">
        <v>16</v>
      </c>
      <c r="B155" s="1">
        <v>0</v>
      </c>
      <c r="C155" s="1">
        <v>5</v>
      </c>
      <c r="D155" s="1">
        <v>2</v>
      </c>
      <c r="E155" s="1">
        <v>1</v>
      </c>
      <c r="F155" s="1">
        <v>0</v>
      </c>
      <c r="G155" s="1">
        <v>0</v>
      </c>
      <c r="H155" s="7">
        <f t="shared" si="14"/>
        <v>0.66666666666666663</v>
      </c>
      <c r="I155" s="7">
        <f t="shared" si="15"/>
        <v>2</v>
      </c>
      <c r="J155" s="7">
        <f t="shared" si="17"/>
        <v>3.333333333333333</v>
      </c>
      <c r="K155" s="13">
        <f t="shared" si="16"/>
        <v>10</v>
      </c>
    </row>
    <row r="156" spans="1:11" x14ac:dyDescent="0.15">
      <c r="A156" s="2" t="s">
        <v>14</v>
      </c>
      <c r="B156" s="1">
        <v>5</v>
      </c>
      <c r="C156" s="1">
        <v>3</v>
      </c>
      <c r="D156" s="1">
        <v>0</v>
      </c>
      <c r="E156" s="1">
        <v>5</v>
      </c>
      <c r="F156" s="1">
        <v>0</v>
      </c>
      <c r="G156" s="1">
        <v>3</v>
      </c>
      <c r="H156" s="7">
        <f t="shared" si="14"/>
        <v>1.6666666666666667</v>
      </c>
      <c r="I156" s="7">
        <f t="shared" si="15"/>
        <v>3.6666666666666665</v>
      </c>
      <c r="J156" s="7">
        <f t="shared" si="17"/>
        <v>1.3333333333333335</v>
      </c>
      <c r="K156" s="13">
        <f t="shared" si="16"/>
        <v>4</v>
      </c>
    </row>
    <row r="157" spans="1:11" x14ac:dyDescent="0.15">
      <c r="A157" s="2" t="s">
        <v>12</v>
      </c>
      <c r="B157" s="1">
        <v>2</v>
      </c>
      <c r="C157" s="1">
        <v>4</v>
      </c>
      <c r="D157" s="1">
        <v>1</v>
      </c>
      <c r="E157" s="1">
        <v>2</v>
      </c>
      <c r="F157" s="1">
        <v>3</v>
      </c>
      <c r="G157" s="1">
        <v>0</v>
      </c>
      <c r="H157" s="7">
        <f t="shared" si="14"/>
        <v>2</v>
      </c>
      <c r="I157" s="7">
        <f t="shared" si="15"/>
        <v>2</v>
      </c>
      <c r="J157" s="7">
        <f t="shared" si="17"/>
        <v>1.3333333333333335</v>
      </c>
      <c r="K157" s="13">
        <f t="shared" si="16"/>
        <v>4</v>
      </c>
    </row>
    <row r="158" spans="1:11" x14ac:dyDescent="0.15">
      <c r="A158" s="2" t="s">
        <v>10</v>
      </c>
      <c r="B158" s="1">
        <v>3</v>
      </c>
      <c r="C158" s="1">
        <v>2</v>
      </c>
      <c r="D158" s="1">
        <v>1</v>
      </c>
      <c r="E158" s="1">
        <v>0</v>
      </c>
      <c r="F158" s="1">
        <v>0</v>
      </c>
      <c r="G158" s="1">
        <v>2</v>
      </c>
      <c r="H158" s="7">
        <f t="shared" si="14"/>
        <v>1.3333333333333333</v>
      </c>
      <c r="I158" s="7">
        <f t="shared" si="15"/>
        <v>1.3333333333333333</v>
      </c>
      <c r="J158" s="7">
        <f t="shared" si="17"/>
        <v>1.3333333333333337</v>
      </c>
      <c r="K158" s="13">
        <f t="shared" si="16"/>
        <v>4</v>
      </c>
    </row>
    <row r="159" spans="1:11" x14ac:dyDescent="0.15">
      <c r="A159" s="2" t="s">
        <v>9</v>
      </c>
      <c r="B159" s="1">
        <v>0</v>
      </c>
      <c r="C159" s="1">
        <v>2</v>
      </c>
      <c r="D159" s="1">
        <v>0</v>
      </c>
      <c r="E159" s="1">
        <v>1</v>
      </c>
      <c r="F159" s="1">
        <v>0</v>
      </c>
      <c r="G159" s="1">
        <v>1</v>
      </c>
      <c r="H159" s="7">
        <f t="shared" si="14"/>
        <v>0</v>
      </c>
      <c r="I159" s="7">
        <f t="shared" si="15"/>
        <v>1.3333333333333333</v>
      </c>
      <c r="J159" s="7">
        <f t="shared" si="17"/>
        <v>0</v>
      </c>
      <c r="K159" s="13">
        <f t="shared" si="16"/>
        <v>0</v>
      </c>
    </row>
    <row r="160" spans="1:11" x14ac:dyDescent="0.15">
      <c r="A160" s="1"/>
      <c r="B160" s="9"/>
      <c r="C160" s="9"/>
      <c r="D160" s="9"/>
      <c r="E160" s="9"/>
      <c r="F160" s="9"/>
      <c r="G160" s="9"/>
      <c r="H160" s="10"/>
      <c r="I160" s="10"/>
      <c r="J160" s="10"/>
      <c r="K160" s="1"/>
    </row>
    <row r="161" spans="1:14" x14ac:dyDescent="0.15">
      <c r="A161" s="1"/>
      <c r="B161" s="9"/>
      <c r="C161" s="9"/>
      <c r="D161" s="9"/>
      <c r="E161" s="9"/>
      <c r="F161" s="9"/>
      <c r="G161" s="9"/>
      <c r="H161" s="10"/>
      <c r="I161" s="10"/>
      <c r="J161" s="10"/>
      <c r="K161" s="9"/>
    </row>
    <row r="162" spans="1:14" x14ac:dyDescent="0.15">
      <c r="A162" s="1"/>
      <c r="B162" s="9"/>
      <c r="C162" s="9"/>
      <c r="D162" s="9"/>
      <c r="E162" s="9"/>
      <c r="F162" s="9"/>
      <c r="G162" s="9"/>
      <c r="H162" s="10"/>
      <c r="I162" s="10"/>
      <c r="J162" s="10"/>
      <c r="K162" s="9"/>
    </row>
    <row r="163" spans="1:14" x14ac:dyDescent="0.15">
      <c r="A163" s="1"/>
      <c r="B163" s="9"/>
      <c r="C163" s="9"/>
      <c r="D163" s="9"/>
      <c r="E163" s="9"/>
      <c r="F163" s="9"/>
      <c r="G163" s="9"/>
      <c r="H163" s="10"/>
      <c r="I163" s="10"/>
      <c r="J163" s="10"/>
      <c r="K163" s="9"/>
    </row>
    <row r="164" spans="1: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4" x14ac:dyDescent="0.15">
      <c r="A165" s="1" t="s">
        <v>44</v>
      </c>
      <c r="B165" s="1" t="s">
        <v>45</v>
      </c>
      <c r="C165" s="1" t="s">
        <v>46</v>
      </c>
      <c r="D165" s="1" t="s">
        <v>47</v>
      </c>
      <c r="E165" s="1" t="s">
        <v>48</v>
      </c>
      <c r="F165" s="1" t="s">
        <v>49</v>
      </c>
      <c r="G165" s="1" t="s">
        <v>50</v>
      </c>
      <c r="H165" s="1" t="s">
        <v>51</v>
      </c>
      <c r="I165" s="1" t="s">
        <v>52</v>
      </c>
      <c r="J165" s="12" t="s">
        <v>64</v>
      </c>
      <c r="K165" s="1" t="s">
        <v>53</v>
      </c>
      <c r="L165" s="1" t="s">
        <v>54</v>
      </c>
    </row>
    <row r="166" spans="1:14" x14ac:dyDescent="0.15">
      <c r="A166" s="1"/>
      <c r="B166" s="1">
        <v>1</v>
      </c>
      <c r="C166" s="2" t="s">
        <v>9</v>
      </c>
      <c r="D166" s="1">
        <v>0</v>
      </c>
      <c r="E166" s="1">
        <v>0</v>
      </c>
      <c r="F166" s="1">
        <f>G166-H166</f>
        <v>7</v>
      </c>
      <c r="G166" s="1">
        <f>C68</f>
        <v>7</v>
      </c>
      <c r="H166" s="1">
        <f>D68</f>
        <v>0</v>
      </c>
      <c r="I166" s="1">
        <f>G166-H166</f>
        <v>7</v>
      </c>
      <c r="J166" s="20">
        <f>SUM(F166:F180)</f>
        <v>142</v>
      </c>
      <c r="K166" s="20">
        <f>SUM(N166:N179)</f>
        <v>44.449999999999989</v>
      </c>
      <c r="L166" s="21">
        <f>K166/J166</f>
        <v>0.31302816901408442</v>
      </c>
      <c r="N166">
        <f>F166*D167</f>
        <v>1.204</v>
      </c>
    </row>
    <row r="167" spans="1:14" x14ac:dyDescent="0.15">
      <c r="A167" s="1"/>
      <c r="B167" s="1">
        <v>2</v>
      </c>
      <c r="C167" s="2" t="s">
        <v>10</v>
      </c>
      <c r="D167" s="1">
        <v>0.17199999999999999</v>
      </c>
      <c r="E167" s="1">
        <v>0.17199999999999999</v>
      </c>
      <c r="F167" s="1">
        <f>F166+G167-H167</f>
        <v>19</v>
      </c>
      <c r="G167" s="1">
        <f t="shared" ref="G167:G180" si="18">C69</f>
        <v>15</v>
      </c>
      <c r="H167" s="1">
        <f t="shared" ref="H167:H180" si="19">D69</f>
        <v>3</v>
      </c>
      <c r="I167" s="1">
        <f t="shared" ref="I167:I180" si="20">G167-H167</f>
        <v>12</v>
      </c>
      <c r="J167" s="20"/>
      <c r="K167" s="20"/>
      <c r="L167" s="21"/>
      <c r="N167">
        <f t="shared" ref="N167:N180" si="21">F167*D168</f>
        <v>6.5170000000000003</v>
      </c>
    </row>
    <row r="168" spans="1:14" x14ac:dyDescent="0.15">
      <c r="A168" s="1"/>
      <c r="B168" s="1">
        <v>3</v>
      </c>
      <c r="C168" s="2" t="s">
        <v>12</v>
      </c>
      <c r="D168" s="1">
        <v>0.34300000000000003</v>
      </c>
      <c r="E168" s="1">
        <v>0.51500000000000001</v>
      </c>
      <c r="F168" s="1">
        <f t="shared" ref="F168:F180" si="22">F167+G168-H168</f>
        <v>11</v>
      </c>
      <c r="G168" s="1">
        <f t="shared" si="18"/>
        <v>2</v>
      </c>
      <c r="H168" s="1">
        <f t="shared" si="19"/>
        <v>10</v>
      </c>
      <c r="I168" s="1">
        <f t="shared" si="20"/>
        <v>-8</v>
      </c>
      <c r="J168" s="20"/>
      <c r="K168" s="20"/>
      <c r="L168" s="21"/>
      <c r="N168">
        <f t="shared" si="21"/>
        <v>1.9689999999999999</v>
      </c>
    </row>
    <row r="169" spans="1:14" x14ac:dyDescent="0.15">
      <c r="A169" s="1"/>
      <c r="B169" s="1">
        <v>4</v>
      </c>
      <c r="C169" s="2" t="s">
        <v>14</v>
      </c>
      <c r="D169" s="1">
        <v>0.17899999999999999</v>
      </c>
      <c r="E169" s="1">
        <v>0.69399999999999995</v>
      </c>
      <c r="F169" s="1">
        <f t="shared" si="22"/>
        <v>9</v>
      </c>
      <c r="G169" s="1">
        <f t="shared" si="18"/>
        <v>1</v>
      </c>
      <c r="H169" s="1">
        <f t="shared" si="19"/>
        <v>3</v>
      </c>
      <c r="I169" s="1">
        <f t="shared" si="20"/>
        <v>-2</v>
      </c>
      <c r="J169" s="20"/>
      <c r="K169" s="20"/>
      <c r="L169" s="21"/>
      <c r="N169">
        <f t="shared" si="21"/>
        <v>2.7359999999999998</v>
      </c>
    </row>
    <row r="170" spans="1:14" ht="15" customHeight="1" x14ac:dyDescent="0.15">
      <c r="A170" s="1"/>
      <c r="B170" s="1">
        <v>5</v>
      </c>
      <c r="C170" s="2" t="s">
        <v>16</v>
      </c>
      <c r="D170" s="1">
        <v>0.30399999999999999</v>
      </c>
      <c r="E170" s="1">
        <v>0.998</v>
      </c>
      <c r="F170" s="1">
        <f t="shared" si="22"/>
        <v>13</v>
      </c>
      <c r="G170" s="1">
        <f t="shared" si="18"/>
        <v>9</v>
      </c>
      <c r="H170" s="1">
        <f t="shared" si="19"/>
        <v>5</v>
      </c>
      <c r="I170" s="1">
        <f t="shared" si="20"/>
        <v>4</v>
      </c>
      <c r="J170" s="20"/>
      <c r="K170" s="20"/>
      <c r="L170" s="21"/>
      <c r="N170">
        <f t="shared" si="21"/>
        <v>4.7189999999999994</v>
      </c>
    </row>
    <row r="171" spans="1:14" x14ac:dyDescent="0.15">
      <c r="A171" s="1"/>
      <c r="B171" s="1">
        <v>6</v>
      </c>
      <c r="C171" s="2" t="s">
        <v>18</v>
      </c>
      <c r="D171" s="1">
        <v>0.36299999999999999</v>
      </c>
      <c r="E171" s="1">
        <v>1.361</v>
      </c>
      <c r="F171" s="1">
        <f t="shared" si="22"/>
        <v>12</v>
      </c>
      <c r="G171" s="1">
        <f t="shared" si="18"/>
        <v>2</v>
      </c>
      <c r="H171" s="1">
        <f t="shared" si="19"/>
        <v>3</v>
      </c>
      <c r="I171" s="1">
        <f t="shared" si="20"/>
        <v>-1</v>
      </c>
      <c r="J171" s="20"/>
      <c r="K171" s="20"/>
      <c r="L171" s="21"/>
      <c r="N171">
        <f t="shared" si="21"/>
        <v>4.2720000000000002</v>
      </c>
    </row>
    <row r="172" spans="1:14" x14ac:dyDescent="0.15">
      <c r="A172" s="1"/>
      <c r="B172" s="1">
        <v>7</v>
      </c>
      <c r="C172" s="2" t="s">
        <v>20</v>
      </c>
      <c r="D172" s="1">
        <v>0.35599999999999998</v>
      </c>
      <c r="E172" s="1">
        <v>1.7170000000000001</v>
      </c>
      <c r="F172" s="1">
        <f t="shared" si="22"/>
        <v>11</v>
      </c>
      <c r="G172" s="1">
        <f t="shared" si="18"/>
        <v>1</v>
      </c>
      <c r="H172" s="1">
        <f t="shared" si="19"/>
        <v>2</v>
      </c>
      <c r="I172" s="1">
        <f t="shared" si="20"/>
        <v>-1</v>
      </c>
      <c r="J172" s="20"/>
      <c r="K172" s="20"/>
      <c r="L172" s="21"/>
      <c r="N172">
        <f t="shared" si="21"/>
        <v>3.8499999999999996</v>
      </c>
    </row>
    <row r="173" spans="1:14" x14ac:dyDescent="0.15">
      <c r="A173" s="1"/>
      <c r="B173" s="1">
        <v>8</v>
      </c>
      <c r="C173" s="2" t="s">
        <v>22</v>
      </c>
      <c r="D173" s="1">
        <v>0.35</v>
      </c>
      <c r="E173" s="1">
        <v>2.0670000000000002</v>
      </c>
      <c r="F173" s="1">
        <f t="shared" si="22"/>
        <v>7</v>
      </c>
      <c r="G173" s="1">
        <f t="shared" si="18"/>
        <v>2</v>
      </c>
      <c r="H173" s="1">
        <f t="shared" si="19"/>
        <v>6</v>
      </c>
      <c r="I173" s="1">
        <f t="shared" si="20"/>
        <v>-4</v>
      </c>
      <c r="J173" s="20"/>
      <c r="K173" s="20"/>
      <c r="L173" s="21"/>
      <c r="N173">
        <f t="shared" si="21"/>
        <v>2.8699999999999997</v>
      </c>
    </row>
    <row r="174" spans="1:14" x14ac:dyDescent="0.15">
      <c r="A174" s="1"/>
      <c r="B174" s="1">
        <v>9</v>
      </c>
      <c r="C174" s="2" t="s">
        <v>21</v>
      </c>
      <c r="D174" s="1">
        <v>0.41</v>
      </c>
      <c r="E174" s="1">
        <v>2.4769999999999999</v>
      </c>
      <c r="F174" s="1">
        <f t="shared" si="22"/>
        <v>9</v>
      </c>
      <c r="G174" s="1">
        <f t="shared" si="18"/>
        <v>3</v>
      </c>
      <c r="H174" s="1">
        <f t="shared" si="19"/>
        <v>1</v>
      </c>
      <c r="I174" s="1">
        <f t="shared" si="20"/>
        <v>2</v>
      </c>
      <c r="J174" s="20"/>
      <c r="K174" s="20"/>
      <c r="L174" s="21"/>
      <c r="N174">
        <f t="shared" si="21"/>
        <v>1.647</v>
      </c>
    </row>
    <row r="175" spans="1:14" x14ac:dyDescent="0.15">
      <c r="A175" s="1"/>
      <c r="B175" s="1">
        <v>10</v>
      </c>
      <c r="C175" s="2" t="s">
        <v>19</v>
      </c>
      <c r="D175" s="1">
        <v>0.183</v>
      </c>
      <c r="E175" s="1">
        <v>2.66</v>
      </c>
      <c r="F175" s="1">
        <f t="shared" si="22"/>
        <v>10</v>
      </c>
      <c r="G175" s="1">
        <f t="shared" si="18"/>
        <v>4</v>
      </c>
      <c r="H175" s="1">
        <f t="shared" si="19"/>
        <v>3</v>
      </c>
      <c r="I175" s="1">
        <f t="shared" si="20"/>
        <v>1</v>
      </c>
      <c r="J175" s="20"/>
      <c r="K175" s="20"/>
      <c r="L175" s="21"/>
      <c r="N175">
        <f t="shared" si="21"/>
        <v>2.8699999999999997</v>
      </c>
    </row>
    <row r="176" spans="1:14" x14ac:dyDescent="0.15">
      <c r="A176" s="1"/>
      <c r="B176" s="1">
        <v>11</v>
      </c>
      <c r="C176" s="2" t="s">
        <v>17</v>
      </c>
      <c r="D176" s="1">
        <v>0.28699999999999998</v>
      </c>
      <c r="E176" s="1">
        <v>2.9470000000000001</v>
      </c>
      <c r="F176" s="1">
        <f t="shared" si="22"/>
        <v>12</v>
      </c>
      <c r="G176" s="1">
        <f t="shared" si="18"/>
        <v>4</v>
      </c>
      <c r="H176" s="1">
        <f t="shared" si="19"/>
        <v>2</v>
      </c>
      <c r="I176" s="1">
        <f t="shared" si="20"/>
        <v>2</v>
      </c>
      <c r="J176" s="20"/>
      <c r="K176" s="20"/>
      <c r="L176" s="21"/>
      <c r="N176">
        <f>F176*D177</f>
        <v>2.9159999999999999</v>
      </c>
    </row>
    <row r="177" spans="1:14" x14ac:dyDescent="0.15">
      <c r="A177" s="1"/>
      <c r="B177" s="1">
        <v>12</v>
      </c>
      <c r="C177" s="2" t="s">
        <v>15</v>
      </c>
      <c r="D177" s="1">
        <v>0.24299999999999999</v>
      </c>
      <c r="E177" s="1">
        <v>3.19</v>
      </c>
      <c r="F177" s="1">
        <f t="shared" si="22"/>
        <v>8</v>
      </c>
      <c r="G177" s="1">
        <f t="shared" si="18"/>
        <v>0</v>
      </c>
      <c r="H177" s="1">
        <f t="shared" si="19"/>
        <v>4</v>
      </c>
      <c r="I177" s="1">
        <f t="shared" si="20"/>
        <v>-4</v>
      </c>
      <c r="J177" s="20"/>
      <c r="K177" s="20"/>
      <c r="L177" s="21"/>
      <c r="N177">
        <f t="shared" si="21"/>
        <v>2.4</v>
      </c>
    </row>
    <row r="178" spans="1:14" x14ac:dyDescent="0.15">
      <c r="A178" s="1"/>
      <c r="B178" s="1">
        <v>13</v>
      </c>
      <c r="C178" s="2" t="s">
        <v>13</v>
      </c>
      <c r="D178" s="1">
        <v>0.3</v>
      </c>
      <c r="E178" s="1">
        <v>3.49</v>
      </c>
      <c r="F178" s="1">
        <f t="shared" si="22"/>
        <v>5</v>
      </c>
      <c r="G178" s="1">
        <f t="shared" si="18"/>
        <v>1</v>
      </c>
      <c r="H178" s="1">
        <f t="shared" si="19"/>
        <v>4</v>
      </c>
      <c r="I178" s="1">
        <f t="shared" si="20"/>
        <v>-3</v>
      </c>
      <c r="J178" s="20"/>
      <c r="K178" s="20"/>
      <c r="L178" s="21"/>
      <c r="N178">
        <f t="shared" si="21"/>
        <v>2.2050000000000001</v>
      </c>
    </row>
    <row r="179" spans="1:14" x14ac:dyDescent="0.15">
      <c r="A179" s="1"/>
      <c r="B179" s="1">
        <v>14</v>
      </c>
      <c r="C179" s="2" t="s">
        <v>11</v>
      </c>
      <c r="D179" s="1">
        <v>0.441</v>
      </c>
      <c r="E179" s="1">
        <v>3.931</v>
      </c>
      <c r="F179" s="1">
        <f t="shared" si="22"/>
        <v>9</v>
      </c>
      <c r="G179" s="1">
        <f t="shared" si="18"/>
        <v>5</v>
      </c>
      <c r="H179" s="1">
        <f t="shared" si="19"/>
        <v>1</v>
      </c>
      <c r="I179" s="1">
        <f t="shared" si="20"/>
        <v>4</v>
      </c>
      <c r="J179" s="20"/>
      <c r="K179" s="20"/>
      <c r="L179" s="21"/>
      <c r="N179">
        <f>F179*D180</f>
        <v>4.2749999999999995</v>
      </c>
    </row>
    <row r="180" spans="1:14" x14ac:dyDescent="0.15">
      <c r="A180" s="1"/>
      <c r="B180" s="1">
        <v>15</v>
      </c>
      <c r="C180" s="2" t="s">
        <v>9</v>
      </c>
      <c r="D180" s="1">
        <v>0.47499999999999998</v>
      </c>
      <c r="E180" s="1">
        <v>4.4059999999999997</v>
      </c>
      <c r="F180" s="1">
        <f t="shared" si="22"/>
        <v>0</v>
      </c>
      <c r="G180" s="1">
        <f t="shared" si="18"/>
        <v>0</v>
      </c>
      <c r="H180" s="1">
        <f t="shared" si="19"/>
        <v>9</v>
      </c>
      <c r="I180" s="1">
        <f t="shared" si="20"/>
        <v>-9</v>
      </c>
      <c r="J180" s="20"/>
      <c r="K180" s="20"/>
      <c r="L180" s="21"/>
      <c r="N180">
        <f t="shared" si="21"/>
        <v>0</v>
      </c>
    </row>
    <row r="181" spans="1: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1"/>
    </row>
    <row r="182" spans="1: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4" x14ac:dyDescent="0.15">
      <c r="A183" s="1" t="s">
        <v>55</v>
      </c>
      <c r="B183" s="1" t="s">
        <v>45</v>
      </c>
      <c r="C183" s="1" t="s">
        <v>46</v>
      </c>
      <c r="D183" s="1" t="s">
        <v>47</v>
      </c>
      <c r="E183" s="1" t="s">
        <v>48</v>
      </c>
      <c r="F183" s="1" t="s">
        <v>49</v>
      </c>
      <c r="G183" s="1" t="s">
        <v>50</v>
      </c>
      <c r="H183" s="1" t="s">
        <v>51</v>
      </c>
      <c r="I183" s="1" t="s">
        <v>52</v>
      </c>
      <c r="J183" s="12" t="s">
        <v>64</v>
      </c>
      <c r="K183" s="1" t="s">
        <v>53</v>
      </c>
      <c r="L183" s="1" t="s">
        <v>54</v>
      </c>
    </row>
    <row r="184" spans="1:14" x14ac:dyDescent="0.15">
      <c r="A184" s="1"/>
      <c r="B184" s="1">
        <v>1</v>
      </c>
      <c r="C184" s="2" t="s">
        <v>9</v>
      </c>
      <c r="D184" s="1">
        <v>0</v>
      </c>
      <c r="E184" s="1">
        <v>0</v>
      </c>
      <c r="F184" s="1">
        <f>G184-H184</f>
        <v>7</v>
      </c>
      <c r="G184" s="1">
        <f>H68</f>
        <v>7</v>
      </c>
      <c r="H184" s="1">
        <f>I68</f>
        <v>0</v>
      </c>
      <c r="I184" s="1">
        <f>G184-H184</f>
        <v>7</v>
      </c>
      <c r="J184" s="20">
        <f>SUM(F184:F198)</f>
        <v>150</v>
      </c>
      <c r="K184" s="20">
        <f>SUM(N185:N198)</f>
        <v>47.798999999999999</v>
      </c>
      <c r="L184" s="21">
        <f>K184/J184</f>
        <v>0.31866</v>
      </c>
    </row>
    <row r="185" spans="1:14" x14ac:dyDescent="0.15">
      <c r="A185" s="1"/>
      <c r="B185" s="1">
        <v>2</v>
      </c>
      <c r="C185" s="2" t="s">
        <v>11</v>
      </c>
      <c r="D185" s="1">
        <v>0.47499999999999998</v>
      </c>
      <c r="E185" s="1">
        <v>0.17199999999999999</v>
      </c>
      <c r="F185" s="1">
        <f>F184+G185-H185</f>
        <v>4</v>
      </c>
      <c r="G185" s="1">
        <f t="shared" ref="G185:G198" si="23">H69</f>
        <v>0</v>
      </c>
      <c r="H185" s="1">
        <f t="shared" ref="H185:H198" si="24">I69</f>
        <v>3</v>
      </c>
      <c r="I185" s="1">
        <f t="shared" ref="I185:I198" si="25">G185-H185</f>
        <v>-3</v>
      </c>
      <c r="J185" s="20"/>
      <c r="K185" s="20"/>
      <c r="L185" s="21"/>
      <c r="N185">
        <f>F184*D185</f>
        <v>3.3249999999999997</v>
      </c>
    </row>
    <row r="186" spans="1:14" x14ac:dyDescent="0.15">
      <c r="A186" s="1"/>
      <c r="B186" s="1">
        <v>3</v>
      </c>
      <c r="C186" s="2" t="s">
        <v>13</v>
      </c>
      <c r="D186" s="1">
        <v>0.441</v>
      </c>
      <c r="E186" s="1">
        <v>0.51500000000000001</v>
      </c>
      <c r="F186" s="1">
        <f t="shared" ref="F186:F198" si="26">F185+G186-H186</f>
        <v>9</v>
      </c>
      <c r="G186" s="1">
        <f t="shared" si="23"/>
        <v>5</v>
      </c>
      <c r="H186" s="1">
        <f t="shared" si="24"/>
        <v>0</v>
      </c>
      <c r="I186" s="1">
        <f t="shared" si="25"/>
        <v>5</v>
      </c>
      <c r="J186" s="20"/>
      <c r="K186" s="20"/>
      <c r="L186" s="21"/>
      <c r="N186">
        <f t="shared" ref="N186:N196" si="27">F185*D186</f>
        <v>1.764</v>
      </c>
    </row>
    <row r="187" spans="1:14" x14ac:dyDescent="0.15">
      <c r="A187" s="1"/>
      <c r="B187" s="1">
        <v>4</v>
      </c>
      <c r="C187" s="2" t="s">
        <v>15</v>
      </c>
      <c r="D187" s="1">
        <v>0.3</v>
      </c>
      <c r="E187" s="1">
        <v>0.69399999999999995</v>
      </c>
      <c r="F187" s="1">
        <f t="shared" si="26"/>
        <v>9</v>
      </c>
      <c r="G187" s="1">
        <f t="shared" si="23"/>
        <v>2</v>
      </c>
      <c r="H187" s="1">
        <f t="shared" si="24"/>
        <v>2</v>
      </c>
      <c r="I187" s="1">
        <f t="shared" si="25"/>
        <v>0</v>
      </c>
      <c r="J187" s="20"/>
      <c r="K187" s="20"/>
      <c r="L187" s="21"/>
      <c r="N187">
        <f t="shared" si="27"/>
        <v>2.6999999999999997</v>
      </c>
    </row>
    <row r="188" spans="1:14" x14ac:dyDescent="0.15">
      <c r="A188" s="1"/>
      <c r="B188" s="1">
        <v>5</v>
      </c>
      <c r="C188" s="2" t="s">
        <v>17</v>
      </c>
      <c r="D188" s="1">
        <v>0.24299999999999999</v>
      </c>
      <c r="E188" s="1">
        <v>0.998</v>
      </c>
      <c r="F188" s="1">
        <f t="shared" si="26"/>
        <v>14</v>
      </c>
      <c r="G188" s="1">
        <f t="shared" si="23"/>
        <v>6</v>
      </c>
      <c r="H188" s="1">
        <f t="shared" si="24"/>
        <v>1</v>
      </c>
      <c r="I188" s="1">
        <f t="shared" si="25"/>
        <v>5</v>
      </c>
      <c r="J188" s="20"/>
      <c r="K188" s="20"/>
      <c r="L188" s="21"/>
      <c r="N188">
        <f t="shared" si="27"/>
        <v>2.1869999999999998</v>
      </c>
    </row>
    <row r="189" spans="1:14" x14ac:dyDescent="0.15">
      <c r="A189" s="1"/>
      <c r="B189" s="1">
        <v>6</v>
      </c>
      <c r="C189" s="2" t="s">
        <v>19</v>
      </c>
      <c r="D189" s="1">
        <v>0.28699999999999998</v>
      </c>
      <c r="E189" s="1">
        <v>1.361</v>
      </c>
      <c r="F189" s="1">
        <f t="shared" si="26"/>
        <v>19</v>
      </c>
      <c r="G189" s="1">
        <f t="shared" si="23"/>
        <v>7</v>
      </c>
      <c r="H189" s="1">
        <f t="shared" si="24"/>
        <v>2</v>
      </c>
      <c r="I189" s="1">
        <f t="shared" si="25"/>
        <v>5</v>
      </c>
      <c r="J189" s="20"/>
      <c r="K189" s="20"/>
      <c r="L189" s="21"/>
      <c r="N189">
        <f t="shared" si="27"/>
        <v>4.0179999999999998</v>
      </c>
    </row>
    <row r="190" spans="1:14" x14ac:dyDescent="0.15">
      <c r="A190" s="1"/>
      <c r="B190" s="1">
        <v>7</v>
      </c>
      <c r="C190" s="2" t="s">
        <v>21</v>
      </c>
      <c r="D190" s="1">
        <v>0.183</v>
      </c>
      <c r="E190" s="1">
        <v>1.7170000000000001</v>
      </c>
      <c r="F190" s="1">
        <f t="shared" si="26"/>
        <v>19</v>
      </c>
      <c r="G190" s="1">
        <f t="shared" si="23"/>
        <v>3</v>
      </c>
      <c r="H190" s="1">
        <f t="shared" si="24"/>
        <v>3</v>
      </c>
      <c r="I190" s="1">
        <f t="shared" si="25"/>
        <v>0</v>
      </c>
      <c r="J190" s="20"/>
      <c r="K190" s="20"/>
      <c r="L190" s="21"/>
      <c r="N190">
        <f t="shared" si="27"/>
        <v>3.4769999999999999</v>
      </c>
    </row>
    <row r="191" spans="1:14" x14ac:dyDescent="0.15">
      <c r="A191" s="1"/>
      <c r="B191" s="1">
        <v>8</v>
      </c>
      <c r="C191" s="2" t="s">
        <v>22</v>
      </c>
      <c r="D191" s="1">
        <v>0.41</v>
      </c>
      <c r="E191" s="1">
        <v>2.0670000000000002</v>
      </c>
      <c r="F191" s="1">
        <f t="shared" si="26"/>
        <v>18</v>
      </c>
      <c r="G191" s="1">
        <f t="shared" si="23"/>
        <v>1</v>
      </c>
      <c r="H191" s="1">
        <f t="shared" si="24"/>
        <v>2</v>
      </c>
      <c r="I191" s="1">
        <f t="shared" si="25"/>
        <v>-1</v>
      </c>
      <c r="J191" s="20"/>
      <c r="K191" s="20"/>
      <c r="L191" s="21"/>
      <c r="N191">
        <f t="shared" si="27"/>
        <v>7.7899999999999991</v>
      </c>
    </row>
    <row r="192" spans="1:14" x14ac:dyDescent="0.15">
      <c r="A192" s="1"/>
      <c r="B192" s="1">
        <v>9</v>
      </c>
      <c r="C192" s="2" t="s">
        <v>20</v>
      </c>
      <c r="D192" s="1">
        <v>0.35</v>
      </c>
      <c r="E192" s="1">
        <v>2.4769999999999999</v>
      </c>
      <c r="F192" s="1">
        <f t="shared" si="26"/>
        <v>15</v>
      </c>
      <c r="G192" s="1">
        <f t="shared" si="23"/>
        <v>5</v>
      </c>
      <c r="H192" s="1">
        <f t="shared" si="24"/>
        <v>8</v>
      </c>
      <c r="I192" s="1">
        <f t="shared" si="25"/>
        <v>-3</v>
      </c>
      <c r="J192" s="20"/>
      <c r="K192" s="20"/>
      <c r="L192" s="21"/>
      <c r="N192">
        <f t="shared" si="27"/>
        <v>6.3</v>
      </c>
    </row>
    <row r="193" spans="1:14" x14ac:dyDescent="0.15">
      <c r="A193" s="1"/>
      <c r="B193" s="1">
        <v>10</v>
      </c>
      <c r="C193" s="2" t="s">
        <v>18</v>
      </c>
      <c r="D193" s="1">
        <v>0.35599999999999998</v>
      </c>
      <c r="E193" s="1">
        <v>2.66</v>
      </c>
      <c r="F193" s="1">
        <f t="shared" si="26"/>
        <v>14</v>
      </c>
      <c r="G193" s="1">
        <f t="shared" si="23"/>
        <v>1</v>
      </c>
      <c r="H193" s="1">
        <f t="shared" si="24"/>
        <v>2</v>
      </c>
      <c r="I193" s="1">
        <f t="shared" si="25"/>
        <v>-1</v>
      </c>
      <c r="J193" s="20"/>
      <c r="K193" s="20"/>
      <c r="L193" s="21"/>
      <c r="N193">
        <f t="shared" si="27"/>
        <v>5.34</v>
      </c>
    </row>
    <row r="194" spans="1:14" x14ac:dyDescent="0.15">
      <c r="A194" s="1"/>
      <c r="B194" s="1">
        <v>11</v>
      </c>
      <c r="C194" s="2" t="s">
        <v>16</v>
      </c>
      <c r="D194" s="1">
        <v>0.36299999999999999</v>
      </c>
      <c r="E194" s="1">
        <v>2.9470000000000001</v>
      </c>
      <c r="F194" s="1">
        <f t="shared" si="26"/>
        <v>10</v>
      </c>
      <c r="G194" s="1">
        <f t="shared" si="23"/>
        <v>2</v>
      </c>
      <c r="H194" s="1">
        <f t="shared" si="24"/>
        <v>6</v>
      </c>
      <c r="I194" s="1">
        <f t="shared" si="25"/>
        <v>-4</v>
      </c>
      <c r="J194" s="20"/>
      <c r="K194" s="20"/>
      <c r="L194" s="21"/>
      <c r="N194">
        <f t="shared" si="27"/>
        <v>5.0819999999999999</v>
      </c>
    </row>
    <row r="195" spans="1:14" x14ac:dyDescent="0.15">
      <c r="A195" s="1"/>
      <c r="B195" s="1">
        <v>12</v>
      </c>
      <c r="C195" s="2" t="s">
        <v>14</v>
      </c>
      <c r="D195" s="1">
        <v>0.30399999999999999</v>
      </c>
      <c r="E195" s="1">
        <v>3.19</v>
      </c>
      <c r="F195" s="1">
        <f t="shared" si="26"/>
        <v>4</v>
      </c>
      <c r="G195" s="1">
        <f t="shared" si="23"/>
        <v>5</v>
      </c>
      <c r="H195" s="1">
        <f t="shared" si="24"/>
        <v>11</v>
      </c>
      <c r="I195" s="1">
        <f t="shared" si="25"/>
        <v>-6</v>
      </c>
      <c r="J195" s="20"/>
      <c r="K195" s="20"/>
      <c r="L195" s="21"/>
      <c r="N195">
        <f t="shared" si="27"/>
        <v>3.04</v>
      </c>
    </row>
    <row r="196" spans="1:14" x14ac:dyDescent="0.15">
      <c r="A196" s="1"/>
      <c r="B196" s="1">
        <v>13</v>
      </c>
      <c r="C196" s="2" t="s">
        <v>12</v>
      </c>
      <c r="D196" s="1">
        <v>0.17899999999999999</v>
      </c>
      <c r="E196" s="1">
        <v>3.49</v>
      </c>
      <c r="F196" s="1">
        <f t="shared" si="26"/>
        <v>4</v>
      </c>
      <c r="G196" s="1">
        <f t="shared" si="23"/>
        <v>6</v>
      </c>
      <c r="H196" s="1">
        <f t="shared" si="24"/>
        <v>6</v>
      </c>
      <c r="I196" s="1">
        <f t="shared" si="25"/>
        <v>0</v>
      </c>
      <c r="J196" s="20"/>
      <c r="K196" s="20"/>
      <c r="L196" s="21"/>
      <c r="N196">
        <f t="shared" si="27"/>
        <v>0.71599999999999997</v>
      </c>
    </row>
    <row r="197" spans="1:14" x14ac:dyDescent="0.15">
      <c r="A197" s="1"/>
      <c r="B197" s="1">
        <v>14</v>
      </c>
      <c r="C197" s="2" t="s">
        <v>10</v>
      </c>
      <c r="D197" s="1">
        <v>0.34300000000000003</v>
      </c>
      <c r="E197" s="1">
        <v>3.931</v>
      </c>
      <c r="F197" s="1">
        <f t="shared" si="26"/>
        <v>4</v>
      </c>
      <c r="G197" s="1">
        <f t="shared" si="23"/>
        <v>4</v>
      </c>
      <c r="H197" s="1">
        <f t="shared" si="24"/>
        <v>4</v>
      </c>
      <c r="I197" s="1">
        <f t="shared" si="25"/>
        <v>0</v>
      </c>
      <c r="J197" s="20"/>
      <c r="K197" s="20"/>
      <c r="L197" s="21"/>
      <c r="N197">
        <f>F196*D197</f>
        <v>1.3720000000000001</v>
      </c>
    </row>
    <row r="198" spans="1:14" x14ac:dyDescent="0.15">
      <c r="A198" s="1"/>
      <c r="B198" s="1">
        <v>15</v>
      </c>
      <c r="C198" s="2" t="s">
        <v>9</v>
      </c>
      <c r="D198" s="1">
        <v>0.17199999999999999</v>
      </c>
      <c r="E198" s="1">
        <v>4.4059999999999997</v>
      </c>
      <c r="F198" s="1">
        <f t="shared" si="26"/>
        <v>0</v>
      </c>
      <c r="G198" s="1">
        <f t="shared" si="23"/>
        <v>0</v>
      </c>
      <c r="H198" s="1">
        <f t="shared" si="24"/>
        <v>4</v>
      </c>
      <c r="I198" s="1">
        <f t="shared" si="25"/>
        <v>-4</v>
      </c>
      <c r="J198" s="20"/>
      <c r="K198" s="20"/>
      <c r="L198" s="21"/>
      <c r="N198">
        <f>F197*D198</f>
        <v>0.68799999999999994</v>
      </c>
    </row>
    <row r="199" spans="1: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1"/>
    </row>
    <row r="200" spans="1: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1"/>
    </row>
    <row r="201" spans="1: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1"/>
    </row>
    <row r="202" spans="1: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1"/>
    </row>
    <row r="203" spans="1: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1"/>
    </row>
    <row r="204" spans="1: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1"/>
    </row>
    <row r="219" spans="1:13" x14ac:dyDescent="0.15">
      <c r="A219" s="1" t="s">
        <v>45</v>
      </c>
      <c r="B219" s="1" t="s">
        <v>49</v>
      </c>
      <c r="C219" s="1" t="s">
        <v>50</v>
      </c>
      <c r="D219" s="1" t="s">
        <v>51</v>
      </c>
      <c r="E219" s="1" t="s">
        <v>52</v>
      </c>
      <c r="F219" s="12" t="s">
        <v>63</v>
      </c>
      <c r="H219" s="1" t="s">
        <v>45</v>
      </c>
      <c r="I219" t="s">
        <v>49</v>
      </c>
      <c r="J219" t="s">
        <v>50</v>
      </c>
      <c r="K219" t="s">
        <v>51</v>
      </c>
      <c r="L219" t="s">
        <v>52</v>
      </c>
      <c r="M219" s="12" t="s">
        <v>64</v>
      </c>
    </row>
    <row r="220" spans="1:13" x14ac:dyDescent="0.15">
      <c r="A220" s="1">
        <v>1</v>
      </c>
      <c r="B220" s="1">
        <v>7</v>
      </c>
      <c r="C220" s="1">
        <v>7</v>
      </c>
      <c r="D220" s="1">
        <v>0</v>
      </c>
      <c r="E220" s="1">
        <v>7</v>
      </c>
      <c r="F220" s="20">
        <v>142</v>
      </c>
      <c r="H220" s="1">
        <v>1</v>
      </c>
      <c r="I220">
        <v>7</v>
      </c>
      <c r="J220">
        <v>7</v>
      </c>
      <c r="K220">
        <v>0</v>
      </c>
      <c r="L220">
        <v>7</v>
      </c>
      <c r="M220" s="20">
        <f>SUM(I220:I234)</f>
        <v>150</v>
      </c>
    </row>
    <row r="221" spans="1:13" x14ac:dyDescent="0.15">
      <c r="A221" s="1">
        <v>2</v>
      </c>
      <c r="B221" s="1">
        <v>19</v>
      </c>
      <c r="C221" s="1">
        <v>15</v>
      </c>
      <c r="D221" s="1">
        <v>3</v>
      </c>
      <c r="E221" s="1">
        <v>12</v>
      </c>
      <c r="F221" s="20"/>
      <c r="H221" s="1">
        <v>2</v>
      </c>
      <c r="I221">
        <v>4</v>
      </c>
      <c r="J221">
        <v>0</v>
      </c>
      <c r="K221">
        <v>3</v>
      </c>
      <c r="L221">
        <v>-3</v>
      </c>
      <c r="M221" s="20"/>
    </row>
    <row r="222" spans="1:13" x14ac:dyDescent="0.15">
      <c r="A222" s="1">
        <v>3</v>
      </c>
      <c r="B222" s="1">
        <v>11</v>
      </c>
      <c r="C222" s="1">
        <v>2</v>
      </c>
      <c r="D222" s="1">
        <v>10</v>
      </c>
      <c r="E222" s="1">
        <v>-8</v>
      </c>
      <c r="F222" s="20"/>
      <c r="H222" s="1">
        <v>3</v>
      </c>
      <c r="I222">
        <v>9</v>
      </c>
      <c r="J222">
        <v>5</v>
      </c>
      <c r="K222">
        <v>0</v>
      </c>
      <c r="L222">
        <v>5</v>
      </c>
      <c r="M222" s="20"/>
    </row>
    <row r="223" spans="1:13" x14ac:dyDescent="0.15">
      <c r="A223" s="1">
        <v>4</v>
      </c>
      <c r="B223" s="1">
        <v>9</v>
      </c>
      <c r="C223" s="1">
        <v>1</v>
      </c>
      <c r="D223" s="1">
        <v>3</v>
      </c>
      <c r="E223" s="1">
        <v>-2</v>
      </c>
      <c r="F223" s="20"/>
      <c r="H223" s="1">
        <v>4</v>
      </c>
      <c r="I223">
        <v>9</v>
      </c>
      <c r="J223">
        <v>2</v>
      </c>
      <c r="K223">
        <v>2</v>
      </c>
      <c r="L223">
        <v>0</v>
      </c>
      <c r="M223" s="20"/>
    </row>
    <row r="224" spans="1:13" x14ac:dyDescent="0.15">
      <c r="A224" s="1">
        <v>5</v>
      </c>
      <c r="B224" s="1">
        <v>13</v>
      </c>
      <c r="C224" s="1">
        <v>9</v>
      </c>
      <c r="D224" s="1">
        <v>5</v>
      </c>
      <c r="E224" s="1">
        <v>4</v>
      </c>
      <c r="F224" s="20"/>
      <c r="H224" s="1">
        <v>5</v>
      </c>
      <c r="I224">
        <v>14</v>
      </c>
      <c r="J224">
        <v>6</v>
      </c>
      <c r="K224">
        <v>1</v>
      </c>
      <c r="L224">
        <v>5</v>
      </c>
      <c r="M224" s="20"/>
    </row>
    <row r="225" spans="1:13" x14ac:dyDescent="0.15">
      <c r="A225" s="1">
        <v>6</v>
      </c>
      <c r="B225" s="1">
        <v>12</v>
      </c>
      <c r="C225" s="1">
        <v>2</v>
      </c>
      <c r="D225" s="1">
        <v>3</v>
      </c>
      <c r="E225" s="1">
        <v>-1</v>
      </c>
      <c r="F225" s="20"/>
      <c r="H225" s="1">
        <v>6</v>
      </c>
      <c r="I225">
        <v>19</v>
      </c>
      <c r="J225">
        <v>7</v>
      </c>
      <c r="K225">
        <v>2</v>
      </c>
      <c r="L225">
        <v>5</v>
      </c>
      <c r="M225" s="20"/>
    </row>
    <row r="226" spans="1:13" x14ac:dyDescent="0.15">
      <c r="A226" s="1">
        <v>7</v>
      </c>
      <c r="B226" s="1">
        <v>11</v>
      </c>
      <c r="C226" s="1">
        <v>1</v>
      </c>
      <c r="D226" s="1">
        <v>2</v>
      </c>
      <c r="E226" s="1">
        <v>-1</v>
      </c>
      <c r="F226" s="20"/>
      <c r="H226" s="1">
        <v>7</v>
      </c>
      <c r="I226">
        <v>19</v>
      </c>
      <c r="J226">
        <v>3</v>
      </c>
      <c r="K226">
        <v>3</v>
      </c>
      <c r="L226">
        <v>0</v>
      </c>
      <c r="M226" s="20"/>
    </row>
    <row r="227" spans="1:13" x14ac:dyDescent="0.15">
      <c r="A227" s="1">
        <v>8</v>
      </c>
      <c r="B227" s="1">
        <v>7</v>
      </c>
      <c r="C227" s="1">
        <v>2</v>
      </c>
      <c r="D227" s="1">
        <v>6</v>
      </c>
      <c r="E227" s="1">
        <v>-4</v>
      </c>
      <c r="F227" s="20"/>
      <c r="H227" s="1">
        <v>8</v>
      </c>
      <c r="I227">
        <v>18</v>
      </c>
      <c r="J227">
        <v>1</v>
      </c>
      <c r="K227">
        <v>2</v>
      </c>
      <c r="L227">
        <v>-1</v>
      </c>
      <c r="M227" s="20"/>
    </row>
    <row r="228" spans="1:13" x14ac:dyDescent="0.15">
      <c r="A228" s="1">
        <v>9</v>
      </c>
      <c r="B228" s="1">
        <v>9</v>
      </c>
      <c r="C228" s="1">
        <v>3</v>
      </c>
      <c r="D228" s="1">
        <v>1</v>
      </c>
      <c r="E228" s="1">
        <v>2</v>
      </c>
      <c r="F228" s="20"/>
      <c r="H228" s="1">
        <v>9</v>
      </c>
      <c r="I228">
        <v>15</v>
      </c>
      <c r="J228">
        <v>5</v>
      </c>
      <c r="K228">
        <v>8</v>
      </c>
      <c r="L228">
        <v>-3</v>
      </c>
      <c r="M228" s="20"/>
    </row>
    <row r="229" spans="1:13" x14ac:dyDescent="0.15">
      <c r="A229" s="1">
        <v>10</v>
      </c>
      <c r="B229" s="1">
        <v>10</v>
      </c>
      <c r="C229" s="1">
        <v>4</v>
      </c>
      <c r="D229" s="1">
        <v>3</v>
      </c>
      <c r="E229" s="1">
        <v>1</v>
      </c>
      <c r="F229" s="20"/>
      <c r="H229" s="1">
        <v>10</v>
      </c>
      <c r="I229">
        <v>14</v>
      </c>
      <c r="J229">
        <v>1</v>
      </c>
      <c r="K229">
        <v>2</v>
      </c>
      <c r="L229">
        <v>-1</v>
      </c>
      <c r="M229" s="20"/>
    </row>
    <row r="230" spans="1:13" x14ac:dyDescent="0.15">
      <c r="A230" s="1">
        <v>11</v>
      </c>
      <c r="B230" s="1">
        <v>12</v>
      </c>
      <c r="C230" s="1">
        <v>4</v>
      </c>
      <c r="D230" s="1">
        <v>2</v>
      </c>
      <c r="E230" s="1">
        <v>2</v>
      </c>
      <c r="F230" s="20"/>
      <c r="H230" s="1">
        <v>11</v>
      </c>
      <c r="I230">
        <v>10</v>
      </c>
      <c r="J230">
        <v>2</v>
      </c>
      <c r="K230">
        <v>6</v>
      </c>
      <c r="L230">
        <v>-4</v>
      </c>
      <c r="M230" s="20"/>
    </row>
    <row r="231" spans="1:13" x14ac:dyDescent="0.15">
      <c r="A231" s="1">
        <v>12</v>
      </c>
      <c r="B231" s="1">
        <v>8</v>
      </c>
      <c r="C231" s="1">
        <v>0</v>
      </c>
      <c r="D231" s="1">
        <v>4</v>
      </c>
      <c r="E231" s="1">
        <v>-4</v>
      </c>
      <c r="F231" s="20"/>
      <c r="H231" s="1">
        <v>12</v>
      </c>
      <c r="I231">
        <v>4</v>
      </c>
      <c r="J231">
        <v>5</v>
      </c>
      <c r="K231">
        <v>11</v>
      </c>
      <c r="L231">
        <v>-6</v>
      </c>
      <c r="M231" s="20"/>
    </row>
    <row r="232" spans="1:13" x14ac:dyDescent="0.15">
      <c r="A232" s="1">
        <v>13</v>
      </c>
      <c r="B232" s="1">
        <v>5</v>
      </c>
      <c r="C232" s="1">
        <v>1</v>
      </c>
      <c r="D232" s="1">
        <v>4</v>
      </c>
      <c r="E232" s="1">
        <v>-3</v>
      </c>
      <c r="F232" s="20"/>
      <c r="H232" s="1">
        <v>13</v>
      </c>
      <c r="I232">
        <v>4</v>
      </c>
      <c r="J232">
        <v>6</v>
      </c>
      <c r="K232">
        <v>6</v>
      </c>
      <c r="L232">
        <v>0</v>
      </c>
      <c r="M232" s="20"/>
    </row>
    <row r="233" spans="1:13" x14ac:dyDescent="0.15">
      <c r="A233" s="1">
        <v>14</v>
      </c>
      <c r="B233" s="1">
        <v>9</v>
      </c>
      <c r="C233" s="1">
        <v>5</v>
      </c>
      <c r="D233" s="1">
        <v>1</v>
      </c>
      <c r="E233" s="1">
        <v>4</v>
      </c>
      <c r="F233" s="20"/>
      <c r="H233" s="1">
        <v>14</v>
      </c>
      <c r="I233">
        <v>4</v>
      </c>
      <c r="J233">
        <v>4</v>
      </c>
      <c r="K233">
        <v>4</v>
      </c>
      <c r="L233">
        <v>0</v>
      </c>
      <c r="M233" s="20"/>
    </row>
    <row r="234" spans="1:13" x14ac:dyDescent="0.15">
      <c r="A234" s="1">
        <v>15</v>
      </c>
      <c r="B234" s="1">
        <v>0</v>
      </c>
      <c r="C234" s="1">
        <v>0</v>
      </c>
      <c r="D234" s="1">
        <v>9</v>
      </c>
      <c r="E234" s="1">
        <v>-9</v>
      </c>
      <c r="F234" s="20"/>
      <c r="H234" s="1">
        <v>15</v>
      </c>
      <c r="I234">
        <v>0</v>
      </c>
      <c r="J234">
        <v>0</v>
      </c>
      <c r="K234">
        <v>4</v>
      </c>
      <c r="L234">
        <v>-4</v>
      </c>
      <c r="M234" s="20"/>
    </row>
  </sheetData>
  <mergeCells count="14">
    <mergeCell ref="F64:I64"/>
    <mergeCell ref="A64:D64"/>
    <mergeCell ref="A1:F1"/>
    <mergeCell ref="B2:F2"/>
    <mergeCell ref="B3:D3"/>
    <mergeCell ref="E3:F3"/>
    <mergeCell ref="F220:F234"/>
    <mergeCell ref="M220:M234"/>
    <mergeCell ref="J166:J180"/>
    <mergeCell ref="J184:J198"/>
    <mergeCell ref="K166:K180"/>
    <mergeCell ref="K184:K198"/>
    <mergeCell ref="L166:L180"/>
    <mergeCell ref="L184:L198"/>
  </mergeCells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1CDB-B36D-49F0-8622-B854A9A0A129}">
  <dimension ref="A1:O64"/>
  <sheetViews>
    <sheetView workbookViewId="0">
      <selection activeCell="S36" sqref="S36"/>
    </sheetView>
  </sheetViews>
  <sheetFormatPr defaultRowHeight="13.5" x14ac:dyDescent="0.15"/>
  <sheetData>
    <row r="1" spans="1:15" x14ac:dyDescent="0.15">
      <c r="A1" s="14" t="s">
        <v>4</v>
      </c>
      <c r="B1" s="14" t="s">
        <v>5</v>
      </c>
      <c r="C1" s="14" t="s">
        <v>6</v>
      </c>
      <c r="D1" s="14" t="s">
        <v>7</v>
      </c>
      <c r="E1" s="14" t="s">
        <v>8</v>
      </c>
    </row>
    <row r="2" spans="1:15" x14ac:dyDescent="0.15">
      <c r="A2" s="14" t="s">
        <v>9</v>
      </c>
      <c r="B2" s="14">
        <v>19.149999999999999</v>
      </c>
      <c r="C2" s="14">
        <v>19.149999999999999</v>
      </c>
      <c r="D2" s="14">
        <v>4</v>
      </c>
      <c r="E2" s="14">
        <v>0</v>
      </c>
    </row>
    <row r="3" spans="1:15" x14ac:dyDescent="0.15">
      <c r="A3" s="14" t="s">
        <v>11</v>
      </c>
      <c r="B3" s="14">
        <v>19.170000000000002</v>
      </c>
      <c r="C3" s="14">
        <v>19.170000000000002</v>
      </c>
      <c r="D3" s="14">
        <v>0</v>
      </c>
      <c r="E3" s="14">
        <v>1</v>
      </c>
    </row>
    <row r="4" spans="1:15" x14ac:dyDescent="0.15">
      <c r="A4" s="14" t="s">
        <v>13</v>
      </c>
      <c r="B4" s="14">
        <v>19.18</v>
      </c>
      <c r="C4" s="14">
        <v>19.190000000000001</v>
      </c>
      <c r="D4" s="14">
        <v>3</v>
      </c>
      <c r="E4" s="14">
        <v>0</v>
      </c>
    </row>
    <row r="5" spans="1:15" x14ac:dyDescent="0.15">
      <c r="A5" s="14" t="s">
        <v>15</v>
      </c>
      <c r="B5" s="14">
        <v>19.2</v>
      </c>
      <c r="C5" s="14">
        <v>19.21</v>
      </c>
      <c r="D5" s="14">
        <v>1</v>
      </c>
      <c r="E5" s="14">
        <v>2</v>
      </c>
    </row>
    <row r="6" spans="1:15" x14ac:dyDescent="0.15">
      <c r="A6" s="14" t="s">
        <v>17</v>
      </c>
      <c r="B6" s="14">
        <v>19.22</v>
      </c>
      <c r="C6" s="14">
        <v>19.23</v>
      </c>
      <c r="D6" s="14">
        <v>2</v>
      </c>
      <c r="E6" s="14">
        <v>0</v>
      </c>
      <c r="J6" t="s">
        <v>3</v>
      </c>
      <c r="K6" s="17" t="s">
        <v>4</v>
      </c>
      <c r="L6" s="17" t="s">
        <v>5</v>
      </c>
      <c r="M6" s="17" t="s">
        <v>6</v>
      </c>
      <c r="N6" s="17" t="s">
        <v>7</v>
      </c>
      <c r="O6" s="17" t="s">
        <v>8</v>
      </c>
    </row>
    <row r="7" spans="1:15" x14ac:dyDescent="0.15">
      <c r="A7" s="14" t="s">
        <v>19</v>
      </c>
      <c r="B7" s="14">
        <v>19.25</v>
      </c>
      <c r="C7" s="14">
        <v>19.25</v>
      </c>
      <c r="D7" s="14">
        <v>4</v>
      </c>
      <c r="E7" s="14">
        <v>1</v>
      </c>
      <c r="J7">
        <v>1</v>
      </c>
      <c r="K7" s="17" t="s">
        <v>9</v>
      </c>
      <c r="L7" s="17">
        <v>18.02</v>
      </c>
      <c r="M7" s="17">
        <v>18.02</v>
      </c>
      <c r="N7" s="17">
        <v>3</v>
      </c>
      <c r="O7" s="17">
        <v>0</v>
      </c>
    </row>
    <row r="8" spans="1:15" x14ac:dyDescent="0.15">
      <c r="A8" s="14" t="s">
        <v>21</v>
      </c>
      <c r="B8" s="14">
        <v>19.28</v>
      </c>
      <c r="C8" s="14">
        <v>19.29</v>
      </c>
      <c r="D8" s="14">
        <v>0</v>
      </c>
      <c r="E8" s="14">
        <v>1</v>
      </c>
      <c r="J8">
        <v>2</v>
      </c>
      <c r="K8" s="17" t="s">
        <v>10</v>
      </c>
      <c r="L8" s="17">
        <v>18.04</v>
      </c>
      <c r="M8" s="17">
        <v>18.04</v>
      </c>
      <c r="N8" s="17">
        <v>5</v>
      </c>
      <c r="O8" s="17">
        <v>1</v>
      </c>
    </row>
    <row r="9" spans="1:15" x14ac:dyDescent="0.15">
      <c r="A9" s="14" t="s">
        <v>22</v>
      </c>
      <c r="B9" s="14">
        <v>19.309999999999999</v>
      </c>
      <c r="C9" s="14">
        <v>19.309999999999999</v>
      </c>
      <c r="D9" s="14">
        <v>1</v>
      </c>
      <c r="E9" s="14">
        <v>2</v>
      </c>
      <c r="J9">
        <v>3</v>
      </c>
      <c r="K9" s="17" t="s">
        <v>12</v>
      </c>
      <c r="L9" s="17">
        <v>18.059999999999999</v>
      </c>
      <c r="M9" s="17">
        <v>18.07</v>
      </c>
      <c r="N9" s="17">
        <v>0</v>
      </c>
      <c r="O9" s="17">
        <v>1</v>
      </c>
    </row>
    <row r="10" spans="1:15" x14ac:dyDescent="0.15">
      <c r="A10" s="14" t="s">
        <v>20</v>
      </c>
      <c r="B10" s="14">
        <v>19.329999999999998</v>
      </c>
      <c r="C10" s="14">
        <v>19.329999999999998</v>
      </c>
      <c r="D10" s="14">
        <v>2</v>
      </c>
      <c r="E10" s="14">
        <v>4</v>
      </c>
      <c r="J10">
        <v>4</v>
      </c>
      <c r="K10" s="17" t="s">
        <v>14</v>
      </c>
      <c r="L10" s="17">
        <v>18.079999999999998</v>
      </c>
      <c r="M10" s="17">
        <v>18.09</v>
      </c>
      <c r="N10" s="17">
        <v>1</v>
      </c>
      <c r="O10" s="17">
        <v>2</v>
      </c>
    </row>
    <row r="11" spans="1:15" x14ac:dyDescent="0.15">
      <c r="A11" s="14" t="s">
        <v>18</v>
      </c>
      <c r="B11" s="14">
        <v>19.37</v>
      </c>
      <c r="C11" s="14">
        <v>19.38</v>
      </c>
      <c r="D11" s="14">
        <v>0</v>
      </c>
      <c r="E11" s="14">
        <v>0</v>
      </c>
      <c r="J11">
        <v>5</v>
      </c>
      <c r="K11" s="17" t="s">
        <v>16</v>
      </c>
      <c r="L11" s="17">
        <v>18.12</v>
      </c>
      <c r="M11" s="17">
        <v>18.13</v>
      </c>
      <c r="N11" s="17">
        <v>3</v>
      </c>
      <c r="O11" s="17">
        <v>0</v>
      </c>
    </row>
    <row r="12" spans="1:15" x14ac:dyDescent="0.15">
      <c r="A12" s="14" t="s">
        <v>16</v>
      </c>
      <c r="B12" s="14">
        <v>19.43</v>
      </c>
      <c r="C12" s="14">
        <v>19.43</v>
      </c>
      <c r="D12" s="14">
        <v>0</v>
      </c>
      <c r="E12" s="14">
        <v>5</v>
      </c>
      <c r="J12">
        <v>6</v>
      </c>
      <c r="K12" s="17" t="s">
        <v>18</v>
      </c>
      <c r="L12" s="17">
        <v>18.18</v>
      </c>
      <c r="M12" s="17">
        <v>18.190000000000001</v>
      </c>
      <c r="N12" s="17">
        <v>1</v>
      </c>
      <c r="O12" s="17">
        <v>3</v>
      </c>
    </row>
    <row r="13" spans="1:15" x14ac:dyDescent="0.15">
      <c r="A13" s="14" t="s">
        <v>14</v>
      </c>
      <c r="B13" s="14">
        <v>19.46</v>
      </c>
      <c r="C13" s="14">
        <v>19.46</v>
      </c>
      <c r="D13" s="14">
        <v>5</v>
      </c>
      <c r="E13" s="14">
        <v>3</v>
      </c>
      <c r="J13">
        <v>7</v>
      </c>
      <c r="K13" s="17" t="s">
        <v>20</v>
      </c>
      <c r="L13" s="17">
        <v>18.23</v>
      </c>
      <c r="M13" s="17">
        <v>18.23</v>
      </c>
      <c r="N13" s="17">
        <v>0</v>
      </c>
      <c r="O13" s="17">
        <v>0</v>
      </c>
    </row>
    <row r="14" spans="1:15" x14ac:dyDescent="0.15">
      <c r="A14" s="14" t="s">
        <v>12</v>
      </c>
      <c r="B14" s="14">
        <v>19.48</v>
      </c>
      <c r="C14" s="14">
        <v>19.48</v>
      </c>
      <c r="D14" s="14">
        <v>2</v>
      </c>
      <c r="E14" s="14">
        <v>4</v>
      </c>
      <c r="J14">
        <v>8</v>
      </c>
      <c r="K14" s="17" t="s">
        <v>22</v>
      </c>
      <c r="L14" s="17">
        <v>18.25</v>
      </c>
      <c r="M14" s="17">
        <v>18.260000000000002</v>
      </c>
      <c r="N14" s="17">
        <v>1</v>
      </c>
      <c r="O14" s="17">
        <v>4</v>
      </c>
    </row>
    <row r="15" spans="1:15" x14ac:dyDescent="0.15">
      <c r="A15" s="14" t="s">
        <v>23</v>
      </c>
      <c r="B15" s="14">
        <v>19.5</v>
      </c>
      <c r="C15" s="14">
        <v>19.510000000000002</v>
      </c>
      <c r="D15" s="14">
        <v>3</v>
      </c>
      <c r="E15" s="14">
        <v>2</v>
      </c>
      <c r="J15">
        <v>9</v>
      </c>
      <c r="K15" s="17" t="s">
        <v>21</v>
      </c>
      <c r="L15" s="17">
        <v>18.28</v>
      </c>
      <c r="M15" s="17">
        <v>18.28</v>
      </c>
      <c r="N15" s="17">
        <v>1</v>
      </c>
      <c r="O15" s="17">
        <v>0</v>
      </c>
    </row>
    <row r="16" spans="1:15" x14ac:dyDescent="0.15">
      <c r="A16" s="14" t="s">
        <v>9</v>
      </c>
      <c r="B16" s="14">
        <v>19.53</v>
      </c>
      <c r="C16" s="14">
        <v>19.53</v>
      </c>
      <c r="D16" s="14">
        <v>0</v>
      </c>
      <c r="E16" s="14">
        <v>2</v>
      </c>
      <c r="J16">
        <v>10</v>
      </c>
      <c r="K16" s="17" t="s">
        <v>19</v>
      </c>
      <c r="L16" s="17">
        <v>18.3</v>
      </c>
      <c r="M16" s="17">
        <v>18.309999999999999</v>
      </c>
      <c r="N16" s="17">
        <v>2</v>
      </c>
      <c r="O16" s="17">
        <v>2</v>
      </c>
    </row>
    <row r="17" spans="1:15" x14ac:dyDescent="0.15">
      <c r="A17" s="14"/>
      <c r="B17" s="14"/>
      <c r="C17" s="14"/>
      <c r="D17" s="14">
        <v>27</v>
      </c>
      <c r="E17" s="14">
        <v>27</v>
      </c>
      <c r="J17">
        <v>11</v>
      </c>
      <c r="K17" s="17" t="s">
        <v>17</v>
      </c>
      <c r="L17" s="17">
        <v>18.329999999999998</v>
      </c>
      <c r="M17" s="17">
        <v>18.34</v>
      </c>
      <c r="N17" s="17">
        <v>2</v>
      </c>
      <c r="O17" s="17">
        <v>0</v>
      </c>
    </row>
    <row r="18" spans="1:15" x14ac:dyDescent="0.15">
      <c r="A18" s="14"/>
      <c r="B18" s="14"/>
      <c r="C18" s="14"/>
      <c r="D18" s="14"/>
      <c r="E18" s="14"/>
      <c r="J18">
        <v>12</v>
      </c>
      <c r="K18" s="17" t="s">
        <v>15</v>
      </c>
      <c r="L18" s="17">
        <v>18.36</v>
      </c>
      <c r="M18" s="17">
        <v>18.37</v>
      </c>
      <c r="N18" s="17">
        <v>0</v>
      </c>
      <c r="O18" s="17">
        <v>2</v>
      </c>
    </row>
    <row r="19" spans="1:15" x14ac:dyDescent="0.15">
      <c r="A19" s="14"/>
      <c r="B19" s="14"/>
      <c r="C19" s="14"/>
      <c r="D19" s="14"/>
      <c r="E19" s="14"/>
      <c r="J19">
        <v>13</v>
      </c>
      <c r="K19" s="17" t="s">
        <v>13</v>
      </c>
      <c r="L19" s="17">
        <v>18.399999999999999</v>
      </c>
      <c r="M19" s="17">
        <v>18.399999999999999</v>
      </c>
      <c r="N19" s="17">
        <v>0</v>
      </c>
      <c r="O19" s="17">
        <v>0</v>
      </c>
    </row>
    <row r="20" spans="1:15" x14ac:dyDescent="0.15">
      <c r="A20" s="14"/>
      <c r="B20" s="14"/>
      <c r="C20" s="14"/>
      <c r="D20" s="14"/>
      <c r="E20" s="14"/>
      <c r="J20">
        <v>14</v>
      </c>
      <c r="K20" s="17" t="s">
        <v>11</v>
      </c>
      <c r="L20" s="17">
        <v>18.41</v>
      </c>
      <c r="M20" s="17">
        <v>18.420000000000002</v>
      </c>
      <c r="N20" s="17">
        <v>2</v>
      </c>
      <c r="O20" s="17">
        <v>1</v>
      </c>
    </row>
    <row r="21" spans="1:15" x14ac:dyDescent="0.15">
      <c r="A21" s="14"/>
      <c r="B21" s="14"/>
      <c r="C21" s="14"/>
      <c r="D21" s="14"/>
      <c r="E21" s="14"/>
      <c r="J21">
        <v>15</v>
      </c>
      <c r="K21" s="17" t="s">
        <v>24</v>
      </c>
      <c r="L21" s="17">
        <v>18.43</v>
      </c>
      <c r="M21" s="17">
        <v>18.43</v>
      </c>
      <c r="N21" s="17">
        <v>0</v>
      </c>
      <c r="O21" s="17">
        <v>5</v>
      </c>
    </row>
    <row r="22" spans="1:15" x14ac:dyDescent="0.15">
      <c r="A22" s="14" t="s">
        <v>4</v>
      </c>
      <c r="B22" s="14" t="s">
        <v>5</v>
      </c>
      <c r="C22" s="14" t="s">
        <v>6</v>
      </c>
      <c r="D22" s="14" t="s">
        <v>7</v>
      </c>
      <c r="E22" s="14" t="s">
        <v>8</v>
      </c>
      <c r="J22" t="s">
        <v>25</v>
      </c>
      <c r="K22" s="17"/>
      <c r="L22" s="17"/>
      <c r="M22" s="17"/>
      <c r="N22" s="17">
        <v>21</v>
      </c>
      <c r="O22" s="17">
        <v>21</v>
      </c>
    </row>
    <row r="23" spans="1:15" x14ac:dyDescent="0.15">
      <c r="A23" s="14" t="s">
        <v>9</v>
      </c>
      <c r="B23" s="14">
        <v>19.350000000000001</v>
      </c>
      <c r="C23" s="14">
        <v>19.350000000000001</v>
      </c>
      <c r="D23" s="14">
        <v>1</v>
      </c>
      <c r="E23" s="14">
        <v>0</v>
      </c>
      <c r="K23" s="17"/>
      <c r="L23" s="17"/>
      <c r="M23" s="17"/>
      <c r="N23" s="17"/>
      <c r="O23" s="17"/>
    </row>
    <row r="24" spans="1:15" x14ac:dyDescent="0.15">
      <c r="A24" s="14" t="s">
        <v>11</v>
      </c>
      <c r="B24" s="14">
        <v>19.36</v>
      </c>
      <c r="C24" s="14">
        <v>19.37</v>
      </c>
      <c r="D24" s="14">
        <v>0</v>
      </c>
      <c r="E24" s="14">
        <v>1</v>
      </c>
      <c r="J24" t="s">
        <v>0</v>
      </c>
      <c r="K24" s="17"/>
      <c r="L24" s="17"/>
      <c r="M24" s="17"/>
      <c r="N24" s="17"/>
      <c r="O24" s="17"/>
    </row>
    <row r="25" spans="1:15" x14ac:dyDescent="0.15">
      <c r="A25" s="14" t="s">
        <v>13</v>
      </c>
      <c r="B25" s="14">
        <v>19.38</v>
      </c>
      <c r="C25" s="14">
        <v>19.38</v>
      </c>
      <c r="D25" s="14">
        <v>1</v>
      </c>
      <c r="E25" s="14">
        <v>0</v>
      </c>
      <c r="J25" t="s">
        <v>1</v>
      </c>
      <c r="K25" s="17" t="s">
        <v>2</v>
      </c>
      <c r="L25" s="17"/>
      <c r="M25" s="17"/>
      <c r="N25" s="17"/>
      <c r="O25" s="17"/>
    </row>
    <row r="26" spans="1:15" x14ac:dyDescent="0.15">
      <c r="A26" s="14" t="s">
        <v>15</v>
      </c>
      <c r="B26" s="14">
        <v>19.399999999999999</v>
      </c>
      <c r="C26" s="14">
        <v>19.41</v>
      </c>
      <c r="D26" s="14">
        <v>0</v>
      </c>
      <c r="E26" s="14">
        <v>0</v>
      </c>
      <c r="J26" t="s">
        <v>68</v>
      </c>
      <c r="K26" s="17" t="s">
        <v>69</v>
      </c>
      <c r="L26" s="17" t="s">
        <v>70</v>
      </c>
      <c r="M26" s="17"/>
      <c r="N26" s="17"/>
      <c r="O26" s="17"/>
    </row>
    <row r="27" spans="1:15" x14ac:dyDescent="0.15">
      <c r="A27" s="14" t="s">
        <v>17</v>
      </c>
      <c r="B27" s="14">
        <v>19.43</v>
      </c>
      <c r="C27" s="14">
        <v>19.43</v>
      </c>
      <c r="D27" s="14">
        <v>3</v>
      </c>
      <c r="E27" s="14">
        <v>0</v>
      </c>
      <c r="J27" t="s">
        <v>3</v>
      </c>
      <c r="K27" s="17" t="s">
        <v>4</v>
      </c>
      <c r="L27" s="17" t="s">
        <v>5</v>
      </c>
      <c r="M27" s="17" t="s">
        <v>6</v>
      </c>
      <c r="N27" s="17" t="s">
        <v>7</v>
      </c>
      <c r="O27" s="17" t="s">
        <v>8</v>
      </c>
    </row>
    <row r="28" spans="1:15" x14ac:dyDescent="0.15">
      <c r="A28" s="14" t="s">
        <v>19</v>
      </c>
      <c r="B28" s="14">
        <v>19.45</v>
      </c>
      <c r="C28" s="14">
        <v>19.46</v>
      </c>
      <c r="D28" s="14">
        <v>2</v>
      </c>
      <c r="E28" s="14">
        <v>1</v>
      </c>
      <c r="J28">
        <v>1</v>
      </c>
      <c r="K28" s="17" t="s">
        <v>9</v>
      </c>
      <c r="L28" s="17">
        <v>18.03</v>
      </c>
      <c r="M28" s="17">
        <v>18.03</v>
      </c>
      <c r="N28" s="17">
        <v>2</v>
      </c>
      <c r="O28" s="17">
        <v>0</v>
      </c>
    </row>
    <row r="29" spans="1:15" x14ac:dyDescent="0.15">
      <c r="A29" s="14" t="s">
        <v>21</v>
      </c>
      <c r="B29" s="14">
        <v>19.489999999999998</v>
      </c>
      <c r="C29" s="14">
        <v>19.5</v>
      </c>
      <c r="D29" s="14">
        <v>1</v>
      </c>
      <c r="E29" s="14">
        <v>1</v>
      </c>
      <c r="J29">
        <v>2</v>
      </c>
      <c r="K29" s="17" t="s">
        <v>10</v>
      </c>
      <c r="L29" s="17">
        <v>18.05</v>
      </c>
      <c r="M29" s="17">
        <v>18.05</v>
      </c>
      <c r="N29" s="17">
        <v>6</v>
      </c>
      <c r="O29" s="17">
        <v>1</v>
      </c>
    </row>
    <row r="30" spans="1:15" x14ac:dyDescent="0.15">
      <c r="A30" s="14" t="s">
        <v>22</v>
      </c>
      <c r="B30" s="14">
        <v>19.52</v>
      </c>
      <c r="C30" s="14">
        <v>19.52</v>
      </c>
      <c r="D30" s="14">
        <v>0</v>
      </c>
      <c r="E30" s="14">
        <v>0</v>
      </c>
      <c r="J30">
        <v>3</v>
      </c>
      <c r="K30" s="17" t="s">
        <v>12</v>
      </c>
      <c r="L30" s="17">
        <v>18.07</v>
      </c>
      <c r="M30" s="17">
        <v>18.080000000000002</v>
      </c>
      <c r="N30" s="17">
        <v>1</v>
      </c>
      <c r="O30" s="17">
        <v>7</v>
      </c>
    </row>
    <row r="31" spans="1:15" x14ac:dyDescent="0.15">
      <c r="A31" s="14" t="s">
        <v>20</v>
      </c>
      <c r="B31" s="14">
        <v>19.54</v>
      </c>
      <c r="C31" s="14">
        <v>19.55</v>
      </c>
      <c r="D31" s="14">
        <v>2</v>
      </c>
      <c r="E31" s="14">
        <v>2</v>
      </c>
      <c r="J31">
        <v>4</v>
      </c>
      <c r="K31" s="17" t="s">
        <v>14</v>
      </c>
      <c r="L31" s="17">
        <v>18.09</v>
      </c>
      <c r="M31" s="17">
        <v>18.100000000000001</v>
      </c>
      <c r="N31" s="17">
        <v>0</v>
      </c>
      <c r="O31" s="17">
        <v>0</v>
      </c>
    </row>
    <row r="32" spans="1:15" x14ac:dyDescent="0.15">
      <c r="A32" s="14" t="s">
        <v>18</v>
      </c>
      <c r="B32" s="14">
        <v>19.579999999999998</v>
      </c>
      <c r="C32" s="14">
        <v>19.59</v>
      </c>
      <c r="D32" s="14">
        <v>0</v>
      </c>
      <c r="E32" s="14">
        <v>0</v>
      </c>
      <c r="J32">
        <v>5</v>
      </c>
      <c r="K32" s="17" t="s">
        <v>16</v>
      </c>
      <c r="L32" s="17">
        <v>18.130000000000003</v>
      </c>
      <c r="M32" s="17">
        <v>18.14</v>
      </c>
      <c r="N32" s="17">
        <v>3</v>
      </c>
      <c r="O32" s="17">
        <v>2</v>
      </c>
    </row>
    <row r="33" spans="1:15" x14ac:dyDescent="0.15">
      <c r="A33" s="14" t="s">
        <v>16</v>
      </c>
      <c r="B33" s="14">
        <v>20.02</v>
      </c>
      <c r="C33" s="14">
        <v>20.03</v>
      </c>
      <c r="D33" s="14">
        <v>2</v>
      </c>
      <c r="E33" s="14">
        <v>1</v>
      </c>
      <c r="J33">
        <v>6</v>
      </c>
      <c r="K33" s="17" t="s">
        <v>18</v>
      </c>
      <c r="L33" s="17">
        <v>18.190000000000001</v>
      </c>
      <c r="M33" s="17">
        <v>18.200000000000003</v>
      </c>
      <c r="N33" s="17">
        <v>1</v>
      </c>
      <c r="O33" s="17">
        <v>0</v>
      </c>
    </row>
    <row r="34" spans="1:15" x14ac:dyDescent="0.15">
      <c r="A34" s="14" t="s">
        <v>14</v>
      </c>
      <c r="B34" s="14">
        <v>20.059999999999999</v>
      </c>
      <c r="C34" s="14">
        <v>20.059999999999999</v>
      </c>
      <c r="D34" s="14">
        <v>0</v>
      </c>
      <c r="E34" s="14">
        <v>5</v>
      </c>
      <c r="J34">
        <v>7</v>
      </c>
      <c r="K34" s="17" t="s">
        <v>20</v>
      </c>
      <c r="L34" s="17">
        <v>18.240000000000002</v>
      </c>
      <c r="M34" s="17">
        <v>18.240000000000002</v>
      </c>
      <c r="N34" s="17">
        <v>0</v>
      </c>
      <c r="O34" s="17">
        <v>0</v>
      </c>
    </row>
    <row r="35" spans="1:15" x14ac:dyDescent="0.15">
      <c r="A35" s="14" t="s">
        <v>12</v>
      </c>
      <c r="B35" s="14">
        <v>20.079999999999998</v>
      </c>
      <c r="C35" s="14">
        <v>20.079999999999998</v>
      </c>
      <c r="D35" s="14">
        <v>1</v>
      </c>
      <c r="E35" s="14">
        <v>2</v>
      </c>
      <c r="J35">
        <v>8</v>
      </c>
      <c r="K35" s="17" t="s">
        <v>22</v>
      </c>
      <c r="L35" s="17">
        <v>18.260000000000002</v>
      </c>
      <c r="M35" s="17">
        <v>18.270000000000003</v>
      </c>
      <c r="N35" s="17">
        <v>1</v>
      </c>
      <c r="O35" s="17">
        <v>1</v>
      </c>
    </row>
    <row r="36" spans="1:15" x14ac:dyDescent="0.15">
      <c r="A36" s="14" t="s">
        <v>10</v>
      </c>
      <c r="B36" s="14">
        <v>20.100000000000001</v>
      </c>
      <c r="C36" s="14">
        <v>20.11</v>
      </c>
      <c r="D36" s="14">
        <v>1</v>
      </c>
      <c r="E36" s="14">
        <v>0</v>
      </c>
      <c r="J36">
        <v>9</v>
      </c>
      <c r="K36" s="17" t="s">
        <v>21</v>
      </c>
      <c r="L36" s="17">
        <v>18.290000000000003</v>
      </c>
      <c r="M36" s="17">
        <v>18.290000000000003</v>
      </c>
      <c r="N36" s="17">
        <v>0</v>
      </c>
      <c r="O36" s="17">
        <v>1</v>
      </c>
    </row>
    <row r="37" spans="1:15" x14ac:dyDescent="0.15">
      <c r="A37" s="14" t="s">
        <v>9</v>
      </c>
      <c r="B37" s="14">
        <v>20.13</v>
      </c>
      <c r="C37" s="14">
        <v>20.13</v>
      </c>
      <c r="D37" s="14">
        <v>0</v>
      </c>
      <c r="E37" s="14">
        <v>1</v>
      </c>
      <c r="J37">
        <v>10</v>
      </c>
      <c r="K37" s="17" t="s">
        <v>19</v>
      </c>
      <c r="L37" s="17">
        <v>18.310000000000002</v>
      </c>
      <c r="M37" s="17">
        <v>18.32</v>
      </c>
      <c r="N37" s="17">
        <v>2</v>
      </c>
      <c r="O37" s="17">
        <v>0</v>
      </c>
    </row>
    <row r="38" spans="1:15" x14ac:dyDescent="0.15">
      <c r="A38" s="14"/>
      <c r="B38" s="14"/>
      <c r="C38" s="14"/>
      <c r="D38" s="14">
        <v>14</v>
      </c>
      <c r="E38" s="14">
        <v>14</v>
      </c>
      <c r="J38">
        <v>11</v>
      </c>
      <c r="K38" s="17" t="s">
        <v>17</v>
      </c>
      <c r="L38" s="17">
        <v>18.34</v>
      </c>
      <c r="M38" s="17">
        <v>18.350000000000001</v>
      </c>
      <c r="N38" s="17">
        <v>0</v>
      </c>
      <c r="O38" s="17">
        <v>2</v>
      </c>
    </row>
    <row r="39" spans="1:15" x14ac:dyDescent="0.15">
      <c r="A39" s="14"/>
      <c r="B39" s="14"/>
      <c r="C39" s="14"/>
      <c r="D39" s="14"/>
      <c r="E39" s="14"/>
      <c r="J39">
        <v>12</v>
      </c>
      <c r="K39" s="17" t="s">
        <v>15</v>
      </c>
      <c r="L39" s="17">
        <v>18.37</v>
      </c>
      <c r="M39" s="17">
        <v>18.380000000000003</v>
      </c>
      <c r="N39" s="17">
        <v>0</v>
      </c>
      <c r="O39" s="17">
        <v>1</v>
      </c>
    </row>
    <row r="40" spans="1:15" x14ac:dyDescent="0.15">
      <c r="A40" s="14"/>
      <c r="B40" s="14"/>
      <c r="C40" s="14"/>
      <c r="D40" s="14"/>
      <c r="E40" s="14"/>
      <c r="J40">
        <v>13</v>
      </c>
      <c r="K40" s="17" t="s">
        <v>13</v>
      </c>
      <c r="L40" s="17">
        <v>18.399999999999999</v>
      </c>
      <c r="M40" s="17">
        <v>18.41</v>
      </c>
      <c r="N40" s="17">
        <v>0</v>
      </c>
      <c r="O40" s="17">
        <v>1</v>
      </c>
    </row>
    <row r="41" spans="1:15" x14ac:dyDescent="0.15">
      <c r="A41" s="14"/>
      <c r="B41" s="14"/>
      <c r="C41" s="14"/>
      <c r="D41" s="14"/>
      <c r="E41" s="14"/>
      <c r="J41">
        <v>14</v>
      </c>
      <c r="K41" s="17" t="s">
        <v>11</v>
      </c>
      <c r="L41" s="17">
        <v>18.420000000000002</v>
      </c>
      <c r="M41" s="17">
        <v>18.430000000000003</v>
      </c>
      <c r="N41" s="17">
        <v>3</v>
      </c>
      <c r="O41" s="17">
        <v>0</v>
      </c>
    </row>
    <row r="42" spans="1:15" x14ac:dyDescent="0.15">
      <c r="A42" s="14"/>
      <c r="B42" s="14"/>
      <c r="C42" s="14"/>
      <c r="D42" s="14"/>
      <c r="E42" s="14"/>
      <c r="J42">
        <v>15</v>
      </c>
      <c r="K42" s="17" t="s">
        <v>24</v>
      </c>
      <c r="L42" s="17">
        <v>18.440000000000001</v>
      </c>
      <c r="M42" s="17">
        <v>18.440000000000001</v>
      </c>
      <c r="N42" s="17">
        <v>0</v>
      </c>
      <c r="O42" s="17">
        <v>3</v>
      </c>
    </row>
    <row r="43" spans="1:15" x14ac:dyDescent="0.15">
      <c r="A43" s="14" t="s">
        <v>4</v>
      </c>
      <c r="B43" s="14" t="s">
        <v>5</v>
      </c>
      <c r="C43" s="14" t="s">
        <v>6</v>
      </c>
      <c r="D43" s="14" t="s">
        <v>7</v>
      </c>
      <c r="E43" s="14" t="s">
        <v>8</v>
      </c>
      <c r="J43" t="s">
        <v>25</v>
      </c>
      <c r="K43" s="17"/>
      <c r="L43" s="17"/>
      <c r="M43" s="17"/>
      <c r="N43" s="17">
        <v>19</v>
      </c>
      <c r="O43" s="17">
        <v>19</v>
      </c>
    </row>
    <row r="44" spans="1:15" x14ac:dyDescent="0.15">
      <c r="A44" s="14" t="s">
        <v>9</v>
      </c>
      <c r="B44" s="14">
        <v>20.05</v>
      </c>
      <c r="C44" s="14">
        <v>20.05</v>
      </c>
      <c r="D44" s="14">
        <v>2</v>
      </c>
      <c r="E44" s="14">
        <v>0</v>
      </c>
      <c r="K44" s="17"/>
      <c r="L44" s="17"/>
      <c r="M44" s="17"/>
      <c r="N44" s="17"/>
      <c r="O44" s="17"/>
    </row>
    <row r="45" spans="1:15" x14ac:dyDescent="0.15">
      <c r="A45" s="14" t="s">
        <v>11</v>
      </c>
      <c r="B45" s="14">
        <v>20.059999999999999</v>
      </c>
      <c r="C45" s="14">
        <v>20.059999999999999</v>
      </c>
      <c r="D45" s="14">
        <v>0</v>
      </c>
      <c r="E45" s="14">
        <v>1</v>
      </c>
      <c r="J45" t="s">
        <v>0</v>
      </c>
      <c r="K45" s="17"/>
      <c r="L45" s="17"/>
      <c r="M45" s="17"/>
      <c r="N45" s="17"/>
      <c r="O45" s="17"/>
    </row>
    <row r="46" spans="1:15" x14ac:dyDescent="0.15">
      <c r="A46" s="14" t="s">
        <v>13</v>
      </c>
      <c r="B46" s="14">
        <v>20.07</v>
      </c>
      <c r="C46" s="14">
        <v>20.079999999999998</v>
      </c>
      <c r="D46" s="14">
        <v>1</v>
      </c>
      <c r="E46" s="14">
        <v>0</v>
      </c>
      <c r="J46" t="s">
        <v>1</v>
      </c>
      <c r="K46" s="17" t="s">
        <v>2</v>
      </c>
      <c r="L46" s="17"/>
      <c r="M46" s="17"/>
      <c r="N46" s="17"/>
      <c r="O46" s="17"/>
    </row>
    <row r="47" spans="1:15" x14ac:dyDescent="0.15">
      <c r="A47" s="14" t="s">
        <v>15</v>
      </c>
      <c r="B47" s="14">
        <v>20.100000000000001</v>
      </c>
      <c r="C47" s="14">
        <v>20.11</v>
      </c>
      <c r="D47" s="14">
        <v>1</v>
      </c>
      <c r="E47" s="14">
        <v>0</v>
      </c>
      <c r="J47" t="s">
        <v>68</v>
      </c>
      <c r="K47" s="17" t="s">
        <v>71</v>
      </c>
      <c r="L47" s="17" t="s">
        <v>72</v>
      </c>
      <c r="M47" s="17"/>
      <c r="N47" s="17"/>
      <c r="O47" s="17"/>
    </row>
    <row r="48" spans="1:15" x14ac:dyDescent="0.15">
      <c r="A48" s="14" t="s">
        <v>17</v>
      </c>
      <c r="B48" s="14">
        <v>20.13</v>
      </c>
      <c r="C48" s="14">
        <v>20.13</v>
      </c>
      <c r="D48" s="14">
        <v>1</v>
      </c>
      <c r="E48" s="14">
        <v>1</v>
      </c>
      <c r="J48" t="s">
        <v>3</v>
      </c>
      <c r="K48" s="17" t="s">
        <v>4</v>
      </c>
      <c r="L48" s="17" t="s">
        <v>5</v>
      </c>
      <c r="M48" s="17" t="s">
        <v>6</v>
      </c>
      <c r="N48" s="17" t="s">
        <v>7</v>
      </c>
      <c r="O48" s="17" t="s">
        <v>8</v>
      </c>
    </row>
    <row r="49" spans="1:15" x14ac:dyDescent="0.15">
      <c r="A49" s="14" t="s">
        <v>19</v>
      </c>
      <c r="B49" s="14">
        <v>20.149999999999999</v>
      </c>
      <c r="C49" s="14">
        <v>20.16</v>
      </c>
      <c r="D49" s="14">
        <v>1</v>
      </c>
      <c r="E49" s="14">
        <v>0</v>
      </c>
      <c r="J49">
        <v>1</v>
      </c>
      <c r="K49" s="17" t="s">
        <v>9</v>
      </c>
      <c r="L49" s="17">
        <v>18.040000000000003</v>
      </c>
      <c r="M49" s="17">
        <v>18.040000000000003</v>
      </c>
      <c r="N49" s="17">
        <v>2</v>
      </c>
      <c r="O49" s="17">
        <v>0</v>
      </c>
    </row>
    <row r="50" spans="1:15" x14ac:dyDescent="0.15">
      <c r="A50" s="14" t="s">
        <v>21</v>
      </c>
      <c r="B50" s="14">
        <v>20.190000000000001</v>
      </c>
      <c r="C50" s="14">
        <v>20.190000000000001</v>
      </c>
      <c r="D50" s="14">
        <v>2</v>
      </c>
      <c r="E50" s="14">
        <v>1</v>
      </c>
      <c r="J50">
        <v>2</v>
      </c>
      <c r="K50" s="17" t="s">
        <v>10</v>
      </c>
      <c r="L50" s="17">
        <v>18.060000000000002</v>
      </c>
      <c r="M50" s="17">
        <v>18.060000000000002</v>
      </c>
      <c r="N50" s="17">
        <v>4</v>
      </c>
      <c r="O50" s="17">
        <v>1</v>
      </c>
    </row>
    <row r="51" spans="1:15" x14ac:dyDescent="0.15">
      <c r="A51" s="14" t="s">
        <v>22</v>
      </c>
      <c r="B51" s="14">
        <v>20.21</v>
      </c>
      <c r="C51" s="14">
        <v>20.21</v>
      </c>
      <c r="D51" s="14">
        <v>0</v>
      </c>
      <c r="E51" s="14">
        <v>0</v>
      </c>
      <c r="J51">
        <v>3</v>
      </c>
      <c r="K51" s="17" t="s">
        <v>12</v>
      </c>
      <c r="L51" s="17">
        <v>18.080000000000002</v>
      </c>
      <c r="M51" s="17">
        <v>18.09</v>
      </c>
      <c r="N51" s="17">
        <v>1</v>
      </c>
      <c r="O51" s="17">
        <v>2</v>
      </c>
    </row>
    <row r="52" spans="1:15" x14ac:dyDescent="0.15">
      <c r="A52" s="14" t="s">
        <v>20</v>
      </c>
      <c r="B52" s="14">
        <v>20.23</v>
      </c>
      <c r="C52" s="14">
        <v>20.23</v>
      </c>
      <c r="D52" s="14">
        <v>1</v>
      </c>
      <c r="E52" s="14">
        <v>2</v>
      </c>
      <c r="J52">
        <v>4</v>
      </c>
      <c r="K52" s="17" t="s">
        <v>14</v>
      </c>
      <c r="L52" s="17">
        <v>18.100000000000001</v>
      </c>
      <c r="M52" s="17">
        <v>18.110000000000003</v>
      </c>
      <c r="N52" s="17">
        <v>0</v>
      </c>
      <c r="O52" s="17">
        <v>1</v>
      </c>
    </row>
    <row r="53" spans="1:15" x14ac:dyDescent="0.15">
      <c r="A53" s="14" t="s">
        <v>18</v>
      </c>
      <c r="B53" s="14">
        <v>20.260000000000002</v>
      </c>
      <c r="C53" s="14">
        <v>20.27</v>
      </c>
      <c r="D53" s="14">
        <v>1</v>
      </c>
      <c r="E53" s="14">
        <v>2</v>
      </c>
      <c r="J53">
        <v>5</v>
      </c>
      <c r="K53" s="17" t="s">
        <v>16</v>
      </c>
      <c r="L53" s="17">
        <v>18.140000000000004</v>
      </c>
      <c r="M53" s="17">
        <v>18.14</v>
      </c>
      <c r="N53" s="17">
        <v>3</v>
      </c>
      <c r="O53" s="17">
        <v>3</v>
      </c>
    </row>
    <row r="54" spans="1:15" x14ac:dyDescent="0.15">
      <c r="A54" s="14" t="s">
        <v>16</v>
      </c>
      <c r="B54" s="14">
        <v>20.309999999999999</v>
      </c>
      <c r="C54" s="14">
        <v>20.309999999999999</v>
      </c>
      <c r="D54" s="14">
        <v>0</v>
      </c>
      <c r="E54" s="14">
        <v>0</v>
      </c>
      <c r="J54">
        <v>6</v>
      </c>
      <c r="K54" s="17" t="s">
        <v>18</v>
      </c>
      <c r="L54" s="17">
        <v>18.200000000000003</v>
      </c>
      <c r="M54" s="17">
        <v>18.210000000000004</v>
      </c>
      <c r="N54" s="17">
        <v>0</v>
      </c>
      <c r="O54" s="17">
        <v>0</v>
      </c>
    </row>
    <row r="55" spans="1:15" x14ac:dyDescent="0.15">
      <c r="A55" s="14" t="s">
        <v>14</v>
      </c>
      <c r="B55" s="14">
        <v>20.34</v>
      </c>
      <c r="C55" s="14">
        <v>20.34</v>
      </c>
      <c r="D55" s="14">
        <v>0</v>
      </c>
      <c r="E55" s="14">
        <v>3</v>
      </c>
      <c r="J55">
        <v>7</v>
      </c>
      <c r="K55" s="17" t="s">
        <v>20</v>
      </c>
      <c r="L55" s="17">
        <v>18.250000000000004</v>
      </c>
      <c r="M55" s="17">
        <v>18.250000000000004</v>
      </c>
      <c r="N55" s="17">
        <v>1</v>
      </c>
      <c r="O55" s="17">
        <v>2</v>
      </c>
    </row>
    <row r="56" spans="1:15" x14ac:dyDescent="0.15">
      <c r="A56" s="14" t="s">
        <v>12</v>
      </c>
      <c r="B56" s="14">
        <v>20.350000000000001</v>
      </c>
      <c r="C56" s="14">
        <v>20.36</v>
      </c>
      <c r="D56" s="14">
        <v>3</v>
      </c>
      <c r="E56" s="14">
        <v>0</v>
      </c>
      <c r="J56">
        <v>8</v>
      </c>
      <c r="K56" s="17" t="s">
        <v>22</v>
      </c>
      <c r="L56" s="17">
        <v>18.270000000000003</v>
      </c>
      <c r="M56" s="17">
        <v>18.27</v>
      </c>
      <c r="N56" s="17">
        <v>0</v>
      </c>
      <c r="O56" s="17">
        <v>1</v>
      </c>
    </row>
    <row r="57" spans="1:15" x14ac:dyDescent="0.15">
      <c r="A57" s="14" t="s">
        <v>10</v>
      </c>
      <c r="B57" s="14">
        <v>20.39</v>
      </c>
      <c r="C57" s="14">
        <v>20.39</v>
      </c>
      <c r="D57" s="14">
        <v>0</v>
      </c>
      <c r="E57" s="14">
        <v>2</v>
      </c>
      <c r="J57">
        <v>9</v>
      </c>
      <c r="K57" s="17" t="s">
        <v>21</v>
      </c>
      <c r="L57" s="17">
        <v>18.300000000000004</v>
      </c>
      <c r="M57" s="17">
        <v>18.300000000000004</v>
      </c>
      <c r="N57" s="17">
        <v>2</v>
      </c>
      <c r="O57" s="17">
        <v>0</v>
      </c>
    </row>
    <row r="58" spans="1:15" x14ac:dyDescent="0.15">
      <c r="A58" s="14" t="s">
        <v>9</v>
      </c>
      <c r="B58" s="14">
        <v>20.41</v>
      </c>
      <c r="C58" s="14">
        <v>20.41</v>
      </c>
      <c r="D58" s="14">
        <v>0</v>
      </c>
      <c r="E58" s="14">
        <v>1</v>
      </c>
      <c r="J58">
        <v>10</v>
      </c>
      <c r="K58" s="17" t="s">
        <v>19</v>
      </c>
      <c r="L58" s="17">
        <v>18.320000000000004</v>
      </c>
      <c r="M58" s="17">
        <v>18.330000000000002</v>
      </c>
      <c r="N58" s="17">
        <v>0</v>
      </c>
      <c r="O58" s="17">
        <v>1</v>
      </c>
    </row>
    <row r="59" spans="1:15" x14ac:dyDescent="0.15">
      <c r="A59" s="14"/>
      <c r="B59" s="14"/>
      <c r="C59" s="14"/>
      <c r="D59" s="14">
        <v>13</v>
      </c>
      <c r="E59" s="14">
        <v>13</v>
      </c>
      <c r="J59">
        <v>11</v>
      </c>
      <c r="K59" s="17" t="s">
        <v>17</v>
      </c>
      <c r="L59" s="17">
        <v>18.350000000000001</v>
      </c>
      <c r="M59" s="17">
        <v>18.350000000000001</v>
      </c>
      <c r="N59" s="17">
        <v>2</v>
      </c>
      <c r="O59" s="17">
        <v>0</v>
      </c>
    </row>
    <row r="60" spans="1:15" x14ac:dyDescent="0.15">
      <c r="J60">
        <v>12</v>
      </c>
      <c r="K60" s="17" t="s">
        <v>15</v>
      </c>
      <c r="L60" s="17">
        <v>18.380000000000003</v>
      </c>
      <c r="M60" s="17">
        <v>18.38</v>
      </c>
      <c r="N60" s="17">
        <v>0</v>
      </c>
      <c r="O60" s="17">
        <v>1</v>
      </c>
    </row>
    <row r="61" spans="1:15" x14ac:dyDescent="0.15">
      <c r="J61">
        <v>13</v>
      </c>
      <c r="K61" s="17" t="s">
        <v>27</v>
      </c>
      <c r="L61" s="17">
        <v>18.41</v>
      </c>
      <c r="M61" s="17">
        <v>18.420000000000002</v>
      </c>
      <c r="N61" s="17">
        <v>1</v>
      </c>
      <c r="O61" s="17">
        <v>3</v>
      </c>
    </row>
    <row r="62" spans="1:15" x14ac:dyDescent="0.15">
      <c r="J62">
        <v>14</v>
      </c>
      <c r="K62" s="17" t="s">
        <v>11</v>
      </c>
      <c r="L62" s="17">
        <v>18.430000000000003</v>
      </c>
      <c r="M62" s="17">
        <v>18.43</v>
      </c>
      <c r="N62" s="17">
        <v>0</v>
      </c>
      <c r="O62" s="17">
        <v>0</v>
      </c>
    </row>
    <row r="63" spans="1:15" x14ac:dyDescent="0.15">
      <c r="J63">
        <v>15</v>
      </c>
      <c r="K63" s="17" t="s">
        <v>9</v>
      </c>
      <c r="L63" s="17">
        <v>18.450000000000003</v>
      </c>
      <c r="M63" s="17">
        <v>18.450000000000003</v>
      </c>
      <c r="N63" s="17">
        <v>0</v>
      </c>
      <c r="O63" s="17">
        <v>1</v>
      </c>
    </row>
    <row r="64" spans="1:15" x14ac:dyDescent="0.15">
      <c r="J64" t="s">
        <v>25</v>
      </c>
      <c r="K64" s="17"/>
      <c r="L64" s="17"/>
      <c r="M64" s="17"/>
      <c r="N64" s="17">
        <v>16</v>
      </c>
      <c r="O64" s="17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佳恒 孙</cp:lastModifiedBy>
  <dcterms:created xsi:type="dcterms:W3CDTF">2025-04-21T10:35:00Z</dcterms:created>
  <dcterms:modified xsi:type="dcterms:W3CDTF">2026-04-26T11:37:32Z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FFB2137BF7F5492E92837573B53B372A_13</vt:lpwstr>
  </property>
  <property fmtid="{D5CDD505-2E9C-101B-9397-08002B2CF9AE}" pid="3" name="KSOProductBuildVer">
    <vt:lpwstr>2052-11.1.0.10009</vt:lpwstr>
  </property>
</Properties>
</file>