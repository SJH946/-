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E:\公共交通课程设计\ggjt\"/>
    </mc:Choice>
  </mc:AlternateContent>
  <xr:revisionPtr revIDLastSave="0" documentId="13_ncr:1_{18436A11-2FE9-44F2-A37E-3E27511CC89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9" i="1" l="1"/>
  <c r="F89" i="1"/>
  <c r="I88" i="1"/>
  <c r="G88" i="1"/>
  <c r="F88" i="1"/>
  <c r="I87" i="1"/>
  <c r="G87" i="1"/>
  <c r="I86" i="1"/>
  <c r="G86" i="1"/>
  <c r="I85" i="1"/>
  <c r="G85" i="1"/>
  <c r="F85" i="1"/>
  <c r="I84" i="1"/>
  <c r="G84" i="1"/>
  <c r="F84" i="1"/>
  <c r="I83" i="1"/>
  <c r="G83" i="1"/>
  <c r="F83" i="1"/>
  <c r="I82" i="1"/>
  <c r="G82" i="1"/>
  <c r="I81" i="1"/>
  <c r="G81" i="1"/>
  <c r="I80" i="1"/>
  <c r="G80" i="1"/>
  <c r="I79" i="1"/>
  <c r="G79" i="1"/>
  <c r="I78" i="1"/>
  <c r="G78" i="1"/>
  <c r="I77" i="1"/>
  <c r="G77" i="1"/>
  <c r="F77" i="1"/>
  <c r="I76" i="1"/>
  <c r="G76" i="1"/>
  <c r="F76" i="1"/>
  <c r="I75" i="1"/>
  <c r="G75" i="1"/>
  <c r="I71" i="1"/>
  <c r="G71" i="1"/>
  <c r="F71" i="1"/>
  <c r="I70" i="1"/>
  <c r="I69" i="1"/>
  <c r="F69" i="1"/>
  <c r="I68" i="1"/>
  <c r="F68" i="1"/>
  <c r="I67" i="1"/>
  <c r="G67" i="1"/>
  <c r="F67" i="1"/>
  <c r="I66" i="1"/>
  <c r="G66" i="1"/>
  <c r="F66" i="1"/>
  <c r="I65" i="1"/>
  <c r="I64" i="1"/>
  <c r="F64" i="1"/>
  <c r="I63" i="1"/>
  <c r="G63" i="1"/>
  <c r="F63" i="1"/>
  <c r="I62" i="1"/>
  <c r="F62" i="1"/>
  <c r="I61" i="1"/>
  <c r="G61" i="1"/>
  <c r="F61" i="1"/>
  <c r="I60" i="1"/>
  <c r="G60" i="1"/>
  <c r="I59" i="1"/>
  <c r="G59" i="1"/>
  <c r="I58" i="1"/>
  <c r="G58" i="1"/>
  <c r="I57" i="1"/>
  <c r="G57" i="1"/>
  <c r="I53" i="1"/>
  <c r="F53" i="1"/>
  <c r="I52" i="1"/>
  <c r="G52" i="1"/>
  <c r="F52" i="1"/>
  <c r="I51" i="1"/>
  <c r="G51" i="1"/>
  <c r="I50" i="1"/>
  <c r="G50" i="1"/>
  <c r="I49" i="1"/>
  <c r="G49" i="1"/>
  <c r="F49" i="1"/>
  <c r="I48" i="1"/>
  <c r="G48" i="1"/>
  <c r="F48" i="1"/>
  <c r="I47" i="1"/>
  <c r="G47" i="1"/>
  <c r="F47" i="1"/>
  <c r="I46" i="1"/>
  <c r="G46" i="1"/>
  <c r="I45" i="1"/>
  <c r="G45" i="1"/>
  <c r="I44" i="1"/>
  <c r="G44" i="1"/>
  <c r="F44" i="1"/>
  <c r="I43" i="1"/>
  <c r="G43" i="1"/>
  <c r="I42" i="1"/>
  <c r="G42" i="1"/>
  <c r="I41" i="1"/>
  <c r="G41" i="1"/>
  <c r="F41" i="1"/>
  <c r="I40" i="1"/>
  <c r="G40" i="1"/>
  <c r="F40" i="1"/>
  <c r="I39" i="1"/>
  <c r="G39" i="1"/>
  <c r="E35" i="1"/>
  <c r="I34" i="1"/>
  <c r="I33" i="1"/>
  <c r="I32" i="1"/>
  <c r="I31" i="1"/>
  <c r="I30" i="1"/>
  <c r="I29" i="1"/>
  <c r="I28" i="1"/>
  <c r="I27" i="1"/>
  <c r="I26" i="1"/>
  <c r="I25" i="1"/>
  <c r="I24" i="1"/>
</calcChain>
</file>

<file path=xl/sharedStrings.xml><?xml version="1.0" encoding="utf-8"?>
<sst xmlns="http://schemas.openxmlformats.org/spreadsheetml/2006/main" count="149" uniqueCount="51">
  <si>
    <r>
      <t>营业时间</t>
    </r>
    <r>
      <rPr>
        <sz val="10"/>
        <color theme="1"/>
        <rFont val="Calibri"/>
        <family val="2"/>
      </rPr>
      <t>/h</t>
    </r>
  </si>
  <si>
    <t>7:00-8:00</t>
  </si>
  <si>
    <t>8:00-9:00</t>
  </si>
  <si>
    <t>9:00-10:00</t>
  </si>
  <si>
    <t>10:00-11:00</t>
  </si>
  <si>
    <t>11:00-12:00</t>
  </si>
  <si>
    <r>
      <t>客流量</t>
    </r>
    <r>
      <rPr>
        <sz val="10"/>
        <color theme="1"/>
        <rFont val="Calibri"/>
        <family val="2"/>
      </rPr>
      <t>/</t>
    </r>
    <r>
      <rPr>
        <sz val="10"/>
        <color theme="1"/>
        <rFont val="宋体"/>
        <charset val="134"/>
      </rPr>
      <t>人</t>
    </r>
  </si>
  <si>
    <r>
      <t>车次</t>
    </r>
    <r>
      <rPr>
        <sz val="10"/>
        <color theme="1"/>
        <rFont val="Calibri"/>
        <family val="2"/>
      </rPr>
      <t>/h</t>
    </r>
  </si>
  <si>
    <r>
      <t>配车数</t>
    </r>
    <r>
      <rPr>
        <sz val="10"/>
        <color theme="1"/>
        <rFont val="Calibri"/>
        <family val="2"/>
      </rPr>
      <t>/</t>
    </r>
    <r>
      <rPr>
        <sz val="10"/>
        <color theme="1"/>
        <rFont val="宋体"/>
        <charset val="134"/>
      </rPr>
      <t>辆</t>
    </r>
  </si>
  <si>
    <r>
      <t>行车间隔</t>
    </r>
    <r>
      <rPr>
        <sz val="10"/>
        <color theme="1"/>
        <rFont val="Calibri"/>
        <family val="2"/>
      </rPr>
      <t>/min</t>
    </r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</si>
  <si>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</si>
  <si>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</si>
  <si>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</si>
  <si>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</si>
  <si>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</si>
  <si>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</si>
  <si>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</si>
  <si>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</si>
  <si>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t>20:00-21:00</t>
  </si>
  <si>
    <t xml:space="preserve"> </t>
  </si>
  <si>
    <r>
      <t>早高峰</t>
    </r>
    <r>
      <rPr>
        <sz val="10.5"/>
        <color theme="1"/>
        <rFont val="宋体"/>
        <charset val="134"/>
      </rPr>
      <t>上行线路统计汇总</t>
    </r>
  </si>
  <si>
    <t>途径站点</t>
  </si>
  <si>
    <t>上车人数</t>
  </si>
  <si>
    <t>下车人数</t>
  </si>
  <si>
    <t>平均上车人数</t>
  </si>
  <si>
    <t>平均下车人数</t>
  </si>
  <si>
    <t>车上人数</t>
  </si>
  <si>
    <t>断面客流</t>
  </si>
  <si>
    <t>东体育馆</t>
  </si>
  <si>
    <t>融园东</t>
  </si>
  <si>
    <t>第三食堂</t>
  </si>
  <si>
    <t>秀园</t>
  </si>
  <si>
    <t>第二食堂</t>
  </si>
  <si>
    <t>综合楼</t>
  </si>
  <si>
    <t>一食堂</t>
  </si>
  <si>
    <t>西门</t>
  </si>
  <si>
    <t>纺化楼</t>
  </si>
  <si>
    <t>11号教学楼</t>
  </si>
  <si>
    <t>1号教学楼</t>
  </si>
  <si>
    <t>逸夫楼</t>
  </si>
  <si>
    <t>理科楼</t>
  </si>
  <si>
    <t>东操场</t>
  </si>
  <si>
    <t xml:space="preserve">   东体育馆</t>
  </si>
  <si>
    <r>
      <t>早高峰下</t>
    </r>
    <r>
      <rPr>
        <sz val="10.5"/>
        <color theme="1"/>
        <rFont val="宋体"/>
        <charset val="134"/>
      </rPr>
      <t>行线路统计汇总</t>
    </r>
  </si>
  <si>
    <r>
      <t>晚高峰</t>
    </r>
    <r>
      <rPr>
        <sz val="10.5"/>
        <color theme="1"/>
        <rFont val="宋体"/>
        <charset val="134"/>
      </rPr>
      <t>上行线路统计汇总</t>
    </r>
  </si>
  <si>
    <t>晚高峰下行线路统计汇总</t>
  </si>
  <si>
    <t>劳动配班表</t>
  </si>
  <si>
    <t>时组</t>
  </si>
  <si>
    <t>配班数</t>
  </si>
  <si>
    <t>车数</t>
  </si>
  <si>
    <t>班次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</si>
</sst>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h:mm;@"/>
  </numFmts>
  <fonts count="7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color theme="1"/>
      <name val="Calibri"/>
      <family val="2"/>
    </font>
    <font>
      <sz val="14"/>
      <color theme="1"/>
      <name val="Times New Roman"/>
      <family val="1"/>
    </font>
    <font>
      <sz val="10.5"/>
      <color theme="1"/>
      <name val="宋体"/>
      <charset val="134"/>
    </font>
    <font>
      <strike/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justify" vertical="top" wrapText="1"/>
    </xf>
    <xf numFmtId="0" fontId="1" fillId="0" borderId="2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1" fillId="0" borderId="3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2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left" vertical="center" indent="2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</xdr:colOff>
      <xdr:row>98</xdr:row>
      <xdr:rowOff>83820</xdr:rowOff>
    </xdr:from>
    <xdr:to>
      <xdr:col>16</xdr:col>
      <xdr:colOff>30480</xdr:colOff>
      <xdr:row>98</xdr:row>
      <xdr:rowOff>91440</xdr:rowOff>
    </xdr:to>
    <xdr:cxnSp macro="">
      <xdr:nvCxnSpPr>
        <xdr:cNvPr id="4" name="直接连接符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2796540" y="19642455"/>
          <a:ext cx="10195560" cy="7620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15240</xdr:colOff>
      <xdr:row>99</xdr:row>
      <xdr:rowOff>106680</xdr:rowOff>
    </xdr:from>
    <xdr:to>
      <xdr:col>15</xdr:col>
      <xdr:colOff>586740</xdr:colOff>
      <xdr:row>99</xdr:row>
      <xdr:rowOff>114300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2781300" y="19848195"/>
          <a:ext cx="10157460" cy="7620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15240</xdr:colOff>
      <xdr:row>100</xdr:row>
      <xdr:rowOff>106680</xdr:rowOff>
    </xdr:from>
    <xdr:to>
      <xdr:col>15</xdr:col>
      <xdr:colOff>586740</xdr:colOff>
      <xdr:row>100</xdr:row>
      <xdr:rowOff>114300</xdr:rowOff>
    </xdr:to>
    <xdr:cxnSp macro="">
      <xdr:nvCxnSpPr>
        <xdr:cNvPr id="7" name="直接连接符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2781300" y="20031075"/>
          <a:ext cx="10157460" cy="7620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15240</xdr:colOff>
      <xdr:row>101</xdr:row>
      <xdr:rowOff>106680</xdr:rowOff>
    </xdr:from>
    <xdr:to>
      <xdr:col>15</xdr:col>
      <xdr:colOff>586740</xdr:colOff>
      <xdr:row>101</xdr:row>
      <xdr:rowOff>114300</xdr:rowOff>
    </xdr:to>
    <xdr:cxnSp macro="">
      <xdr:nvCxnSpPr>
        <xdr:cNvPr id="8" name="直接连接符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2781300" y="20213955"/>
          <a:ext cx="10157460" cy="7620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15240</xdr:colOff>
      <xdr:row>102</xdr:row>
      <xdr:rowOff>106680</xdr:rowOff>
    </xdr:from>
    <xdr:to>
      <xdr:col>15</xdr:col>
      <xdr:colOff>586740</xdr:colOff>
      <xdr:row>102</xdr:row>
      <xdr:rowOff>114300</xdr:rowOff>
    </xdr:to>
    <xdr:cxnSp macro="">
      <xdr:nvCxnSpPr>
        <xdr:cNvPr id="9" name="直接连接符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2781300" y="20396835"/>
          <a:ext cx="10157460" cy="7620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7620</xdr:colOff>
      <xdr:row>103</xdr:row>
      <xdr:rowOff>91440</xdr:rowOff>
    </xdr:from>
    <xdr:to>
      <xdr:col>13</xdr:col>
      <xdr:colOff>7620</xdr:colOff>
      <xdr:row>103</xdr:row>
      <xdr:rowOff>121920</xdr:rowOff>
    </xdr:to>
    <xdr:cxnSp macro="">
      <xdr:nvCxnSpPr>
        <xdr:cNvPr id="10" name="直接连接符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2773680" y="20564475"/>
          <a:ext cx="8366760" cy="30480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7620</xdr:colOff>
      <xdr:row>104</xdr:row>
      <xdr:rowOff>91440</xdr:rowOff>
    </xdr:from>
    <xdr:to>
      <xdr:col>13</xdr:col>
      <xdr:colOff>7620</xdr:colOff>
      <xdr:row>104</xdr:row>
      <xdr:rowOff>121920</xdr:rowOff>
    </xdr:to>
    <xdr:cxnSp macro="">
      <xdr:nvCxnSpPr>
        <xdr:cNvPr id="11" name="直接连接符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2773680" y="20747355"/>
          <a:ext cx="8366760" cy="30480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7620</xdr:colOff>
      <xdr:row>105</xdr:row>
      <xdr:rowOff>106680</xdr:rowOff>
    </xdr:from>
    <xdr:to>
      <xdr:col>3</xdr:col>
      <xdr:colOff>0</xdr:colOff>
      <xdr:row>105</xdr:row>
      <xdr:rowOff>114300</xdr:rowOff>
    </xdr:to>
    <xdr:cxnSp macro="">
      <xdr:nvCxnSpPr>
        <xdr:cNvPr id="12" name="直接连接符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2773680" y="20945475"/>
          <a:ext cx="952500" cy="7620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7620</xdr:colOff>
      <xdr:row>106</xdr:row>
      <xdr:rowOff>106680</xdr:rowOff>
    </xdr:from>
    <xdr:to>
      <xdr:col>3</xdr:col>
      <xdr:colOff>0</xdr:colOff>
      <xdr:row>106</xdr:row>
      <xdr:rowOff>114300</xdr:rowOff>
    </xdr:to>
    <xdr:cxnSp macro="">
      <xdr:nvCxnSpPr>
        <xdr:cNvPr id="13" name="直接连接符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>
          <a:off x="2773680" y="21128355"/>
          <a:ext cx="952500" cy="7620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7620</xdr:colOff>
      <xdr:row>107</xdr:row>
      <xdr:rowOff>106680</xdr:rowOff>
    </xdr:from>
    <xdr:to>
      <xdr:col>3</xdr:col>
      <xdr:colOff>0</xdr:colOff>
      <xdr:row>107</xdr:row>
      <xdr:rowOff>114300</xdr:rowOff>
    </xdr:to>
    <xdr:cxnSp macro="">
      <xdr:nvCxnSpPr>
        <xdr:cNvPr id="14" name="直接连接符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2773680" y="21311235"/>
          <a:ext cx="952500" cy="7620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7620</xdr:colOff>
      <xdr:row>107</xdr:row>
      <xdr:rowOff>106680</xdr:rowOff>
    </xdr:from>
    <xdr:to>
      <xdr:col>3</xdr:col>
      <xdr:colOff>0</xdr:colOff>
      <xdr:row>107</xdr:row>
      <xdr:rowOff>114300</xdr:rowOff>
    </xdr:to>
    <xdr:cxnSp macro="">
      <xdr:nvCxnSpPr>
        <xdr:cNvPr id="15" name="直接连接符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2773680" y="21311235"/>
          <a:ext cx="952500" cy="7620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7620</xdr:colOff>
      <xdr:row>108</xdr:row>
      <xdr:rowOff>106680</xdr:rowOff>
    </xdr:from>
    <xdr:to>
      <xdr:col>3</xdr:col>
      <xdr:colOff>0</xdr:colOff>
      <xdr:row>108</xdr:row>
      <xdr:rowOff>114300</xdr:rowOff>
    </xdr:to>
    <xdr:cxnSp macro="">
      <xdr:nvCxnSpPr>
        <xdr:cNvPr id="16" name="直接连接符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>
          <a:off x="2773680" y="21494115"/>
          <a:ext cx="952500" cy="7620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7620</xdr:colOff>
      <xdr:row>105</xdr:row>
      <xdr:rowOff>106680</xdr:rowOff>
    </xdr:from>
    <xdr:to>
      <xdr:col>8</xdr:col>
      <xdr:colOff>0</xdr:colOff>
      <xdr:row>105</xdr:row>
      <xdr:rowOff>114300</xdr:rowOff>
    </xdr:to>
    <xdr:cxnSp macro="">
      <xdr:nvCxnSpPr>
        <xdr:cNvPr id="17" name="直接连接符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>
          <a:off x="7482840" y="20945475"/>
          <a:ext cx="601980" cy="7620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9"/>
  <sheetViews>
    <sheetView tabSelected="1" topLeftCell="A18" workbookViewId="0">
      <selection activeCell="M78" sqref="M78"/>
    </sheetView>
  </sheetViews>
  <sheetFormatPr defaultColWidth="8.875" defaultRowHeight="13.5" x14ac:dyDescent="0.15"/>
  <cols>
    <col min="1" max="1" width="21.875" bestFit="1" customWidth="1"/>
    <col min="2" max="5" width="9" bestFit="1" customWidth="1"/>
    <col min="6" max="6" width="8.5" bestFit="1" customWidth="1"/>
    <col min="7" max="7" width="6.75" bestFit="1" customWidth="1"/>
    <col min="8" max="9" width="5" bestFit="1" customWidth="1"/>
    <col min="10" max="16" width="5.875" bestFit="1" customWidth="1"/>
    <col min="17" max="17" width="7.125" bestFit="1" customWidth="1"/>
  </cols>
  <sheetData>
    <row r="1" spans="1:6" ht="36.75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4.75" x14ac:dyDescent="0.15">
      <c r="A2" s="3" t="s">
        <v>6</v>
      </c>
      <c r="B2" s="4">
        <v>200</v>
      </c>
      <c r="C2" s="4">
        <v>103</v>
      </c>
      <c r="D2" s="4">
        <v>100</v>
      </c>
      <c r="E2" s="4">
        <v>98</v>
      </c>
      <c r="F2" s="4">
        <v>102</v>
      </c>
    </row>
    <row r="3" spans="1:6" ht="24.75" x14ac:dyDescent="0.15">
      <c r="A3" s="3" t="s">
        <v>7</v>
      </c>
      <c r="B3" s="4">
        <v>11</v>
      </c>
      <c r="C3" s="4">
        <v>6</v>
      </c>
      <c r="D3" s="4">
        <v>6</v>
      </c>
      <c r="E3" s="4">
        <v>6</v>
      </c>
      <c r="F3" s="4">
        <v>6</v>
      </c>
    </row>
    <row r="4" spans="1:6" ht="24.75" x14ac:dyDescent="0.15">
      <c r="A4" s="3" t="s">
        <v>8</v>
      </c>
      <c r="B4" s="4">
        <v>11</v>
      </c>
      <c r="C4" s="4">
        <v>6</v>
      </c>
      <c r="D4" s="4">
        <v>6</v>
      </c>
      <c r="E4" s="4">
        <v>6</v>
      </c>
      <c r="F4" s="4">
        <v>6</v>
      </c>
    </row>
    <row r="5" spans="1:6" ht="36.75" x14ac:dyDescent="0.15">
      <c r="A5" s="5" t="s">
        <v>9</v>
      </c>
      <c r="B5" s="6">
        <v>5.4</v>
      </c>
      <c r="C5" s="6">
        <v>11</v>
      </c>
      <c r="D5" s="6">
        <v>11</v>
      </c>
      <c r="E5" s="6">
        <v>11</v>
      </c>
      <c r="F5" s="6">
        <v>11</v>
      </c>
    </row>
    <row r="6" spans="1:6" ht="36.75" x14ac:dyDescent="0.15">
      <c r="A6" s="3" t="s">
        <v>0</v>
      </c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</row>
    <row r="7" spans="1:6" ht="24.75" x14ac:dyDescent="0.15">
      <c r="A7" s="3" t="s">
        <v>6</v>
      </c>
      <c r="B7" s="4">
        <v>120</v>
      </c>
      <c r="C7" s="4">
        <v>104</v>
      </c>
      <c r="D7" s="4">
        <v>106</v>
      </c>
      <c r="E7" s="4">
        <v>98</v>
      </c>
      <c r="F7" s="4">
        <v>97</v>
      </c>
    </row>
    <row r="8" spans="1:6" ht="24.75" x14ac:dyDescent="0.15">
      <c r="A8" s="3" t="s">
        <v>7</v>
      </c>
      <c r="B8" s="4">
        <v>7</v>
      </c>
      <c r="C8" s="4">
        <v>6</v>
      </c>
      <c r="D8" s="4">
        <v>6</v>
      </c>
      <c r="E8" s="4">
        <v>6</v>
      </c>
      <c r="F8" s="4">
        <v>6</v>
      </c>
    </row>
    <row r="9" spans="1:6" ht="24.75" x14ac:dyDescent="0.15">
      <c r="A9" s="3" t="s">
        <v>8</v>
      </c>
      <c r="B9" s="4">
        <v>7</v>
      </c>
      <c r="C9" s="4">
        <v>6</v>
      </c>
      <c r="D9" s="4">
        <v>6</v>
      </c>
      <c r="E9" s="4">
        <v>6</v>
      </c>
      <c r="F9" s="4">
        <v>6</v>
      </c>
    </row>
    <row r="10" spans="1:6" ht="36.75" x14ac:dyDescent="0.15">
      <c r="A10" s="5" t="s">
        <v>9</v>
      </c>
      <c r="B10" s="6">
        <v>9</v>
      </c>
      <c r="C10" s="6">
        <v>11</v>
      </c>
      <c r="D10" s="6">
        <v>11</v>
      </c>
      <c r="E10" s="6">
        <v>11</v>
      </c>
      <c r="F10" s="6">
        <v>11</v>
      </c>
    </row>
    <row r="11" spans="1:6" ht="36.75" x14ac:dyDescent="0.15">
      <c r="A11" s="3" t="s">
        <v>0</v>
      </c>
      <c r="B11" s="4" t="s">
        <v>15</v>
      </c>
      <c r="C11" s="4" t="s">
        <v>16</v>
      </c>
      <c r="D11" s="4" t="s">
        <v>17</v>
      </c>
      <c r="E11" s="4" t="s">
        <v>18</v>
      </c>
      <c r="F11" s="4"/>
    </row>
    <row r="12" spans="1:6" ht="24.75" x14ac:dyDescent="0.15">
      <c r="A12" s="3" t="s">
        <v>6</v>
      </c>
      <c r="B12" s="4">
        <v>180</v>
      </c>
      <c r="C12" s="4">
        <v>90</v>
      </c>
      <c r="D12" s="4">
        <v>88</v>
      </c>
      <c r="E12" s="4">
        <v>92</v>
      </c>
      <c r="F12" s="4"/>
    </row>
    <row r="13" spans="1:6" ht="24.75" x14ac:dyDescent="0.15">
      <c r="A13" s="3" t="s">
        <v>7</v>
      </c>
      <c r="B13" s="4">
        <v>10</v>
      </c>
      <c r="C13" s="4">
        <v>5</v>
      </c>
      <c r="D13" s="4">
        <v>5</v>
      </c>
      <c r="E13" s="4">
        <v>5</v>
      </c>
      <c r="F13" s="4"/>
    </row>
    <row r="14" spans="1:6" ht="24.75" x14ac:dyDescent="0.15">
      <c r="A14" s="3" t="s">
        <v>8</v>
      </c>
      <c r="B14" s="4">
        <v>10</v>
      </c>
      <c r="C14" s="4">
        <v>5</v>
      </c>
      <c r="D14" s="4">
        <v>5</v>
      </c>
      <c r="E14" s="4">
        <v>5</v>
      </c>
      <c r="F14" s="4"/>
    </row>
    <row r="15" spans="1:6" ht="36.75" x14ac:dyDescent="0.15">
      <c r="A15" s="3" t="s">
        <v>9</v>
      </c>
      <c r="B15" s="4">
        <v>6</v>
      </c>
      <c r="C15" s="4">
        <v>12</v>
      </c>
      <c r="D15" s="4">
        <v>12</v>
      </c>
      <c r="E15" s="4">
        <v>12</v>
      </c>
      <c r="F15" s="4"/>
    </row>
    <row r="16" spans="1:6" ht="18.75" x14ac:dyDescent="0.15">
      <c r="A16" s="8" t="s">
        <v>19</v>
      </c>
    </row>
    <row r="18" spans="1:9" x14ac:dyDescent="0.15">
      <c r="A18" s="9" t="s">
        <v>20</v>
      </c>
    </row>
    <row r="19" spans="1:9" ht="25.5" x14ac:dyDescent="0.15">
      <c r="A19" s="10" t="s">
        <v>21</v>
      </c>
      <c r="B19" s="10" t="s">
        <v>22</v>
      </c>
      <c r="C19" s="10" t="s">
        <v>23</v>
      </c>
      <c r="D19" s="10" t="s">
        <v>22</v>
      </c>
      <c r="E19" s="10" t="s">
        <v>23</v>
      </c>
      <c r="F19" s="11" t="s">
        <v>24</v>
      </c>
      <c r="G19" s="11" t="s">
        <v>25</v>
      </c>
      <c r="H19" s="11" t="s">
        <v>26</v>
      </c>
      <c r="I19" s="11" t="s">
        <v>27</v>
      </c>
    </row>
    <row r="20" spans="1:9" x14ac:dyDescent="0.15">
      <c r="A20" s="12" t="s">
        <v>28</v>
      </c>
      <c r="B20" s="10">
        <v>3</v>
      </c>
      <c r="C20" s="10">
        <v>0</v>
      </c>
      <c r="D20" s="10">
        <v>2</v>
      </c>
      <c r="E20" s="10">
        <v>0</v>
      </c>
      <c r="F20">
        <v>3</v>
      </c>
      <c r="G20">
        <v>0</v>
      </c>
      <c r="H20">
        <v>3</v>
      </c>
      <c r="I20">
        <v>18</v>
      </c>
    </row>
    <row r="21" spans="1:9" x14ac:dyDescent="0.15">
      <c r="A21" s="12" t="s">
        <v>29</v>
      </c>
      <c r="B21" s="10">
        <v>5</v>
      </c>
      <c r="C21" s="10">
        <v>1</v>
      </c>
      <c r="D21" s="10">
        <v>6</v>
      </c>
      <c r="E21" s="10">
        <v>1</v>
      </c>
      <c r="F21">
        <v>6</v>
      </c>
      <c r="G21">
        <v>1</v>
      </c>
      <c r="H21">
        <v>8</v>
      </c>
      <c r="I21">
        <v>48</v>
      </c>
    </row>
    <row r="22" spans="1:9" x14ac:dyDescent="0.15">
      <c r="A22" s="12" t="s">
        <v>30</v>
      </c>
      <c r="B22" s="10">
        <v>0</v>
      </c>
      <c r="C22" s="10">
        <v>1</v>
      </c>
      <c r="D22" s="10">
        <v>1</v>
      </c>
      <c r="E22" s="10">
        <v>7</v>
      </c>
      <c r="F22">
        <v>1</v>
      </c>
      <c r="G22">
        <v>4</v>
      </c>
      <c r="H22">
        <v>5</v>
      </c>
      <c r="I22">
        <v>30</v>
      </c>
    </row>
    <row r="23" spans="1:9" x14ac:dyDescent="0.15">
      <c r="A23" s="12" t="s">
        <v>31</v>
      </c>
      <c r="B23" s="10">
        <v>1</v>
      </c>
      <c r="C23" s="10">
        <v>2</v>
      </c>
      <c r="D23" s="10">
        <v>0</v>
      </c>
      <c r="E23" s="10">
        <v>0</v>
      </c>
      <c r="F23">
        <v>1</v>
      </c>
      <c r="G23">
        <v>1</v>
      </c>
      <c r="H23">
        <v>5</v>
      </c>
      <c r="I23">
        <v>30</v>
      </c>
    </row>
    <row r="24" spans="1:9" x14ac:dyDescent="0.15">
      <c r="A24" s="12" t="s">
        <v>32</v>
      </c>
      <c r="B24" s="10">
        <v>3</v>
      </c>
      <c r="C24" s="10">
        <v>0</v>
      </c>
      <c r="D24" s="10">
        <v>3</v>
      </c>
      <c r="E24" s="10">
        <v>2</v>
      </c>
      <c r="F24">
        <v>3</v>
      </c>
      <c r="G24">
        <v>1</v>
      </c>
      <c r="H24">
        <v>7</v>
      </c>
      <c r="I24">
        <f>H24*6</f>
        <v>42</v>
      </c>
    </row>
    <row r="25" spans="1:9" x14ac:dyDescent="0.15">
      <c r="A25" s="12" t="s">
        <v>33</v>
      </c>
      <c r="B25" s="10">
        <v>1</v>
      </c>
      <c r="C25" s="10">
        <v>3</v>
      </c>
      <c r="D25" s="10">
        <v>1</v>
      </c>
      <c r="E25" s="10">
        <v>0</v>
      </c>
      <c r="F25">
        <v>1</v>
      </c>
      <c r="G25">
        <v>2</v>
      </c>
      <c r="H25">
        <v>6</v>
      </c>
      <c r="I25">
        <f t="shared" ref="I25:I34" si="0">H25*6</f>
        <v>36</v>
      </c>
    </row>
    <row r="26" spans="1:9" x14ac:dyDescent="0.15">
      <c r="A26" s="12" t="s">
        <v>34</v>
      </c>
      <c r="B26" s="10">
        <v>0</v>
      </c>
      <c r="C26" s="10">
        <v>0</v>
      </c>
      <c r="D26" s="10">
        <v>0</v>
      </c>
      <c r="E26" s="10">
        <v>0</v>
      </c>
      <c r="F26">
        <v>0</v>
      </c>
      <c r="G26">
        <v>0</v>
      </c>
      <c r="H26">
        <v>6</v>
      </c>
      <c r="I26">
        <f t="shared" si="0"/>
        <v>36</v>
      </c>
    </row>
    <row r="27" spans="1:9" x14ac:dyDescent="0.15">
      <c r="A27" s="12" t="s">
        <v>35</v>
      </c>
      <c r="B27" s="10">
        <v>1</v>
      </c>
      <c r="C27" s="10">
        <v>4</v>
      </c>
      <c r="D27" s="10">
        <v>1</v>
      </c>
      <c r="E27" s="10">
        <v>1</v>
      </c>
      <c r="F27">
        <v>1</v>
      </c>
      <c r="G27">
        <v>3</v>
      </c>
      <c r="H27">
        <v>4</v>
      </c>
      <c r="I27">
        <f t="shared" si="0"/>
        <v>24</v>
      </c>
    </row>
    <row r="28" spans="1:9" x14ac:dyDescent="0.15">
      <c r="A28" s="12" t="s">
        <v>36</v>
      </c>
      <c r="B28" s="10">
        <v>1</v>
      </c>
      <c r="C28" s="10">
        <v>0</v>
      </c>
      <c r="D28" s="10">
        <v>0</v>
      </c>
      <c r="E28" s="10">
        <v>1</v>
      </c>
      <c r="F28">
        <v>1</v>
      </c>
      <c r="G28">
        <v>1</v>
      </c>
      <c r="H28">
        <v>4</v>
      </c>
      <c r="I28">
        <f t="shared" si="0"/>
        <v>24</v>
      </c>
    </row>
    <row r="29" spans="1:9" x14ac:dyDescent="0.15">
      <c r="A29" s="12" t="s">
        <v>37</v>
      </c>
      <c r="B29" s="10">
        <v>2</v>
      </c>
      <c r="C29" s="10">
        <v>2</v>
      </c>
      <c r="D29" s="10">
        <v>2</v>
      </c>
      <c r="E29" s="10">
        <v>0</v>
      </c>
      <c r="F29">
        <v>2</v>
      </c>
      <c r="G29">
        <v>1</v>
      </c>
      <c r="H29">
        <v>5</v>
      </c>
      <c r="I29">
        <f t="shared" si="0"/>
        <v>30</v>
      </c>
    </row>
    <row r="30" spans="1:9" x14ac:dyDescent="0.15">
      <c r="A30" s="12" t="s">
        <v>38</v>
      </c>
      <c r="B30" s="10">
        <v>2</v>
      </c>
      <c r="C30" s="10">
        <v>0</v>
      </c>
      <c r="D30" s="10">
        <v>0</v>
      </c>
      <c r="E30" s="10">
        <v>2</v>
      </c>
      <c r="F30">
        <v>1</v>
      </c>
      <c r="G30">
        <v>1</v>
      </c>
      <c r="H30">
        <v>5</v>
      </c>
      <c r="I30">
        <f t="shared" si="0"/>
        <v>30</v>
      </c>
    </row>
    <row r="31" spans="1:9" x14ac:dyDescent="0.15">
      <c r="A31" s="12" t="s">
        <v>39</v>
      </c>
      <c r="B31" s="10">
        <v>0</v>
      </c>
      <c r="C31" s="10">
        <v>2</v>
      </c>
      <c r="D31" s="10">
        <v>0</v>
      </c>
      <c r="E31" s="10">
        <v>1</v>
      </c>
      <c r="F31">
        <v>0</v>
      </c>
      <c r="G31">
        <v>2</v>
      </c>
      <c r="H31">
        <v>3</v>
      </c>
      <c r="I31">
        <f t="shared" si="0"/>
        <v>18</v>
      </c>
    </row>
    <row r="32" spans="1:9" x14ac:dyDescent="0.15">
      <c r="A32" s="12" t="s">
        <v>40</v>
      </c>
      <c r="B32" s="10">
        <v>0</v>
      </c>
      <c r="C32" s="10">
        <v>0</v>
      </c>
      <c r="D32" s="10">
        <v>0</v>
      </c>
      <c r="E32" s="10">
        <v>1</v>
      </c>
      <c r="F32">
        <v>0</v>
      </c>
      <c r="G32">
        <v>1</v>
      </c>
      <c r="H32">
        <v>2</v>
      </c>
      <c r="I32">
        <f t="shared" si="0"/>
        <v>12</v>
      </c>
    </row>
    <row r="33" spans="1:9" x14ac:dyDescent="0.15">
      <c r="A33" s="12" t="s">
        <v>41</v>
      </c>
      <c r="B33" s="10">
        <v>2</v>
      </c>
      <c r="C33" s="10">
        <v>1</v>
      </c>
      <c r="D33" s="10">
        <v>3</v>
      </c>
      <c r="E33" s="10">
        <v>0</v>
      </c>
      <c r="F33">
        <v>3</v>
      </c>
      <c r="G33">
        <v>1</v>
      </c>
      <c r="H33">
        <v>4</v>
      </c>
      <c r="I33">
        <f t="shared" si="0"/>
        <v>24</v>
      </c>
    </row>
    <row r="34" spans="1:9" x14ac:dyDescent="0.15">
      <c r="A34" s="12" t="s">
        <v>42</v>
      </c>
      <c r="B34" s="10">
        <v>0</v>
      </c>
      <c r="C34" s="10">
        <v>5</v>
      </c>
      <c r="D34" s="10">
        <v>0</v>
      </c>
      <c r="E34" s="10">
        <v>3</v>
      </c>
      <c r="F34">
        <v>0</v>
      </c>
      <c r="G34">
        <v>4</v>
      </c>
      <c r="H34">
        <v>0</v>
      </c>
      <c r="I34">
        <f t="shared" si="0"/>
        <v>0</v>
      </c>
    </row>
    <row r="35" spans="1:9" x14ac:dyDescent="0.15">
      <c r="B35" s="10"/>
      <c r="C35" s="10"/>
      <c r="D35" s="10"/>
      <c r="E35" s="10">
        <f>SUM(E20:E34)</f>
        <v>19</v>
      </c>
    </row>
    <row r="37" spans="1:9" ht="25.5" x14ac:dyDescent="0.15">
      <c r="A37" s="9" t="s">
        <v>43</v>
      </c>
      <c r="B37" s="10" t="s">
        <v>22</v>
      </c>
      <c r="C37" s="10" t="s">
        <v>23</v>
      </c>
      <c r="D37" s="10" t="s">
        <v>22</v>
      </c>
      <c r="E37" s="10" t="s">
        <v>23</v>
      </c>
      <c r="F37" s="11" t="s">
        <v>24</v>
      </c>
      <c r="G37" s="11" t="s">
        <v>25</v>
      </c>
      <c r="H37" s="11" t="s">
        <v>26</v>
      </c>
      <c r="I37" s="11" t="s">
        <v>27</v>
      </c>
    </row>
    <row r="38" spans="1:9" x14ac:dyDescent="0.15">
      <c r="A38" s="10" t="s">
        <v>21</v>
      </c>
    </row>
    <row r="39" spans="1:9" x14ac:dyDescent="0.15">
      <c r="A39" s="12" t="s">
        <v>28</v>
      </c>
      <c r="B39" s="10">
        <v>4</v>
      </c>
      <c r="C39" s="10">
        <v>0</v>
      </c>
      <c r="D39" s="10">
        <v>1</v>
      </c>
      <c r="E39" s="10">
        <v>0</v>
      </c>
      <c r="F39">
        <v>3</v>
      </c>
      <c r="G39">
        <f>(C39+E39)/2</f>
        <v>0</v>
      </c>
      <c r="H39">
        <v>3</v>
      </c>
      <c r="I39">
        <f>H39*6</f>
        <v>18</v>
      </c>
    </row>
    <row r="40" spans="1:9" x14ac:dyDescent="0.15">
      <c r="A40" s="12" t="s">
        <v>29</v>
      </c>
      <c r="B40" s="10">
        <v>0</v>
      </c>
      <c r="C40" s="10">
        <v>1</v>
      </c>
      <c r="D40" s="10">
        <v>0</v>
      </c>
      <c r="E40" s="10">
        <v>1</v>
      </c>
      <c r="F40">
        <f t="shared" ref="F40:F53" si="1">(B40+D40)/2</f>
        <v>0</v>
      </c>
      <c r="G40">
        <f t="shared" ref="G40:G52" si="2">(C40+E40)/2</f>
        <v>1</v>
      </c>
      <c r="H40">
        <v>2</v>
      </c>
      <c r="I40">
        <f t="shared" ref="I40:I53" si="3">H40*6</f>
        <v>12</v>
      </c>
    </row>
    <row r="41" spans="1:9" x14ac:dyDescent="0.15">
      <c r="A41" s="12" t="s">
        <v>30</v>
      </c>
      <c r="B41" s="10">
        <v>3</v>
      </c>
      <c r="C41" s="10">
        <v>0</v>
      </c>
      <c r="D41" s="10">
        <v>1</v>
      </c>
      <c r="E41" s="10">
        <v>0</v>
      </c>
      <c r="F41">
        <f t="shared" si="1"/>
        <v>2</v>
      </c>
      <c r="G41">
        <f t="shared" si="2"/>
        <v>0</v>
      </c>
      <c r="H41">
        <v>4</v>
      </c>
      <c r="I41">
        <f t="shared" si="3"/>
        <v>24</v>
      </c>
    </row>
    <row r="42" spans="1:9" x14ac:dyDescent="0.15">
      <c r="A42" s="12" t="s">
        <v>31</v>
      </c>
      <c r="B42" s="10">
        <v>1</v>
      </c>
      <c r="C42" s="10">
        <v>2</v>
      </c>
      <c r="D42" s="10">
        <v>0</v>
      </c>
      <c r="E42" s="10">
        <v>0</v>
      </c>
      <c r="F42">
        <v>1</v>
      </c>
      <c r="G42">
        <f t="shared" si="2"/>
        <v>1</v>
      </c>
      <c r="H42">
        <v>4</v>
      </c>
      <c r="I42">
        <f t="shared" si="3"/>
        <v>24</v>
      </c>
    </row>
    <row r="43" spans="1:9" x14ac:dyDescent="0.15">
      <c r="A43" s="12" t="s">
        <v>32</v>
      </c>
      <c r="B43" s="10">
        <v>2</v>
      </c>
      <c r="C43" s="10">
        <v>0</v>
      </c>
      <c r="D43" s="10">
        <v>3</v>
      </c>
      <c r="E43" s="10">
        <v>0</v>
      </c>
      <c r="F43">
        <v>3</v>
      </c>
      <c r="G43">
        <f t="shared" si="2"/>
        <v>0</v>
      </c>
      <c r="H43">
        <v>7</v>
      </c>
      <c r="I43">
        <f t="shared" si="3"/>
        <v>42</v>
      </c>
    </row>
    <row r="44" spans="1:9" x14ac:dyDescent="0.15">
      <c r="A44" s="12" t="s">
        <v>33</v>
      </c>
      <c r="B44" s="10">
        <v>4</v>
      </c>
      <c r="C44" s="10">
        <v>1</v>
      </c>
      <c r="D44" s="10">
        <v>2</v>
      </c>
      <c r="E44" s="10">
        <v>1</v>
      </c>
      <c r="F44">
        <f t="shared" si="1"/>
        <v>3</v>
      </c>
      <c r="G44">
        <f t="shared" si="2"/>
        <v>1</v>
      </c>
      <c r="H44">
        <v>9</v>
      </c>
      <c r="I44">
        <f t="shared" si="3"/>
        <v>54</v>
      </c>
    </row>
    <row r="45" spans="1:9" x14ac:dyDescent="0.15">
      <c r="A45" s="12" t="s">
        <v>34</v>
      </c>
      <c r="B45" s="10">
        <v>0</v>
      </c>
      <c r="C45" s="10">
        <v>1</v>
      </c>
      <c r="D45" s="10">
        <v>1</v>
      </c>
      <c r="E45" s="10">
        <v>1</v>
      </c>
      <c r="F45">
        <v>1</v>
      </c>
      <c r="G45">
        <f t="shared" si="2"/>
        <v>1</v>
      </c>
      <c r="H45">
        <v>9</v>
      </c>
      <c r="I45">
        <f t="shared" si="3"/>
        <v>54</v>
      </c>
    </row>
    <row r="46" spans="1:9" x14ac:dyDescent="0.15">
      <c r="A46" s="12" t="s">
        <v>35</v>
      </c>
      <c r="B46" s="10">
        <v>1</v>
      </c>
      <c r="C46" s="10">
        <v>2</v>
      </c>
      <c r="D46" s="10">
        <v>0</v>
      </c>
      <c r="E46" s="10">
        <v>0</v>
      </c>
      <c r="F46">
        <v>1</v>
      </c>
      <c r="G46">
        <f t="shared" si="2"/>
        <v>1</v>
      </c>
      <c r="H46">
        <v>9</v>
      </c>
      <c r="I46">
        <f t="shared" si="3"/>
        <v>54</v>
      </c>
    </row>
    <row r="47" spans="1:9" x14ac:dyDescent="0.15">
      <c r="A47" s="12" t="s">
        <v>36</v>
      </c>
      <c r="B47" s="10">
        <v>2</v>
      </c>
      <c r="C47" s="10">
        <v>4</v>
      </c>
      <c r="D47" s="10">
        <v>2</v>
      </c>
      <c r="E47" s="10">
        <v>2</v>
      </c>
      <c r="F47">
        <f t="shared" si="1"/>
        <v>2</v>
      </c>
      <c r="G47">
        <f t="shared" si="2"/>
        <v>3</v>
      </c>
      <c r="H47">
        <v>8</v>
      </c>
      <c r="I47">
        <f t="shared" si="3"/>
        <v>48</v>
      </c>
    </row>
    <row r="48" spans="1:9" x14ac:dyDescent="0.15">
      <c r="A48" s="12" t="s">
        <v>37</v>
      </c>
      <c r="B48" s="10">
        <v>0</v>
      </c>
      <c r="C48" s="10">
        <v>0</v>
      </c>
      <c r="D48" s="10">
        <v>0</v>
      </c>
      <c r="E48" s="10">
        <v>0</v>
      </c>
      <c r="F48">
        <f t="shared" si="1"/>
        <v>0</v>
      </c>
      <c r="G48">
        <f t="shared" si="2"/>
        <v>0</v>
      </c>
      <c r="H48">
        <v>8</v>
      </c>
      <c r="I48">
        <f t="shared" si="3"/>
        <v>48</v>
      </c>
    </row>
    <row r="49" spans="1:9" x14ac:dyDescent="0.15">
      <c r="A49" s="12" t="s">
        <v>38</v>
      </c>
      <c r="B49" s="10">
        <v>0</v>
      </c>
      <c r="C49" s="10">
        <v>5</v>
      </c>
      <c r="D49" s="10">
        <v>2</v>
      </c>
      <c r="E49" s="10">
        <v>1</v>
      </c>
      <c r="F49">
        <f t="shared" si="1"/>
        <v>1</v>
      </c>
      <c r="G49">
        <f t="shared" si="2"/>
        <v>3</v>
      </c>
      <c r="H49">
        <v>6</v>
      </c>
      <c r="I49">
        <f t="shared" si="3"/>
        <v>36</v>
      </c>
    </row>
    <row r="50" spans="1:9" x14ac:dyDescent="0.15">
      <c r="A50" s="12" t="s">
        <v>39</v>
      </c>
      <c r="B50" s="10">
        <v>5</v>
      </c>
      <c r="C50" s="10">
        <v>3</v>
      </c>
      <c r="D50" s="10">
        <v>0</v>
      </c>
      <c r="E50" s="10">
        <v>5</v>
      </c>
      <c r="F50">
        <v>3</v>
      </c>
      <c r="G50">
        <f t="shared" si="2"/>
        <v>4</v>
      </c>
      <c r="H50">
        <v>5</v>
      </c>
      <c r="I50">
        <f t="shared" si="3"/>
        <v>30</v>
      </c>
    </row>
    <row r="51" spans="1:9" x14ac:dyDescent="0.15">
      <c r="A51" s="12" t="s">
        <v>40</v>
      </c>
      <c r="B51" s="10">
        <v>2</v>
      </c>
      <c r="C51" s="10">
        <v>4</v>
      </c>
      <c r="D51" s="10">
        <v>1</v>
      </c>
      <c r="E51" s="10">
        <v>2</v>
      </c>
      <c r="F51">
        <v>2</v>
      </c>
      <c r="G51">
        <f t="shared" si="2"/>
        <v>3</v>
      </c>
      <c r="H51">
        <v>4</v>
      </c>
      <c r="I51">
        <f t="shared" si="3"/>
        <v>24</v>
      </c>
    </row>
    <row r="52" spans="1:9" x14ac:dyDescent="0.15">
      <c r="A52" s="12" t="s">
        <v>41</v>
      </c>
      <c r="B52" s="10">
        <v>3</v>
      </c>
      <c r="C52" s="10">
        <v>2</v>
      </c>
      <c r="D52" s="10">
        <v>1</v>
      </c>
      <c r="E52" s="10">
        <v>0</v>
      </c>
      <c r="F52">
        <f t="shared" si="1"/>
        <v>2</v>
      </c>
      <c r="G52">
        <f t="shared" si="2"/>
        <v>1</v>
      </c>
      <c r="H52">
        <v>5</v>
      </c>
      <c r="I52">
        <f t="shared" si="3"/>
        <v>30</v>
      </c>
    </row>
    <row r="53" spans="1:9" x14ac:dyDescent="0.15">
      <c r="A53" s="12" t="s">
        <v>42</v>
      </c>
      <c r="B53" s="10">
        <v>0</v>
      </c>
      <c r="C53" s="10">
        <v>2</v>
      </c>
      <c r="D53" s="10">
        <v>0</v>
      </c>
      <c r="E53" s="10">
        <v>1</v>
      </c>
      <c r="F53">
        <f t="shared" si="1"/>
        <v>0</v>
      </c>
      <c r="G53">
        <v>2</v>
      </c>
      <c r="H53">
        <v>0</v>
      </c>
      <c r="I53">
        <f t="shared" si="3"/>
        <v>0</v>
      </c>
    </row>
    <row r="55" spans="1:9" ht="25.5" x14ac:dyDescent="0.15">
      <c r="A55" s="13" t="s">
        <v>44</v>
      </c>
      <c r="B55" s="10" t="s">
        <v>22</v>
      </c>
      <c r="C55" s="10" t="s">
        <v>23</v>
      </c>
      <c r="D55" s="10" t="s">
        <v>22</v>
      </c>
      <c r="E55" s="10" t="s">
        <v>23</v>
      </c>
      <c r="F55" s="11" t="s">
        <v>24</v>
      </c>
      <c r="G55" s="11" t="s">
        <v>25</v>
      </c>
      <c r="H55" s="11" t="s">
        <v>26</v>
      </c>
      <c r="I55" s="11" t="s">
        <v>27</v>
      </c>
    </row>
    <row r="56" spans="1:9" x14ac:dyDescent="0.15">
      <c r="A56" s="10" t="s">
        <v>21</v>
      </c>
    </row>
    <row r="57" spans="1:9" x14ac:dyDescent="0.15">
      <c r="A57" s="12" t="s">
        <v>28</v>
      </c>
      <c r="B57" s="10">
        <v>3</v>
      </c>
      <c r="C57" s="10">
        <v>0</v>
      </c>
      <c r="D57" s="10">
        <v>2</v>
      </c>
      <c r="E57" s="10">
        <v>0</v>
      </c>
      <c r="F57">
        <v>3</v>
      </c>
      <c r="G57">
        <f>(C57+E57)/2</f>
        <v>0</v>
      </c>
      <c r="H57">
        <v>3</v>
      </c>
      <c r="I57">
        <f>H57*6</f>
        <v>18</v>
      </c>
    </row>
    <row r="58" spans="1:9" x14ac:dyDescent="0.15">
      <c r="A58" s="12" t="s">
        <v>29</v>
      </c>
      <c r="B58" s="10">
        <v>5</v>
      </c>
      <c r="C58" s="10">
        <v>1</v>
      </c>
      <c r="D58" s="10">
        <v>6</v>
      </c>
      <c r="E58" s="10">
        <v>1</v>
      </c>
      <c r="F58">
        <v>6</v>
      </c>
      <c r="G58">
        <f t="shared" ref="G58:G71" si="4">(C58+E58)/2</f>
        <v>1</v>
      </c>
      <c r="H58">
        <v>8</v>
      </c>
      <c r="I58">
        <f t="shared" ref="I58:I71" si="5">H58*6</f>
        <v>48</v>
      </c>
    </row>
    <row r="59" spans="1:9" x14ac:dyDescent="0.15">
      <c r="A59" s="12" t="s">
        <v>30</v>
      </c>
      <c r="B59" s="10">
        <v>0</v>
      </c>
      <c r="C59" s="10">
        <v>1</v>
      </c>
      <c r="D59" s="10">
        <v>1</v>
      </c>
      <c r="E59" s="10">
        <v>7</v>
      </c>
      <c r="F59">
        <v>1</v>
      </c>
      <c r="G59">
        <f t="shared" si="4"/>
        <v>4</v>
      </c>
      <c r="H59">
        <v>5</v>
      </c>
      <c r="I59">
        <f t="shared" si="5"/>
        <v>30</v>
      </c>
    </row>
    <row r="60" spans="1:9" x14ac:dyDescent="0.15">
      <c r="A60" s="12" t="s">
        <v>31</v>
      </c>
      <c r="B60" s="10">
        <v>1</v>
      </c>
      <c r="C60" s="10">
        <v>2</v>
      </c>
      <c r="D60" s="10">
        <v>0</v>
      </c>
      <c r="E60" s="10">
        <v>0</v>
      </c>
      <c r="F60">
        <v>1</v>
      </c>
      <c r="G60">
        <f t="shared" si="4"/>
        <v>1</v>
      </c>
      <c r="H60">
        <v>5</v>
      </c>
      <c r="I60">
        <f t="shared" si="5"/>
        <v>30</v>
      </c>
    </row>
    <row r="61" spans="1:9" x14ac:dyDescent="0.15">
      <c r="A61" s="12" t="s">
        <v>32</v>
      </c>
      <c r="B61" s="10">
        <v>3</v>
      </c>
      <c r="C61" s="10">
        <v>0</v>
      </c>
      <c r="D61" s="10">
        <v>3</v>
      </c>
      <c r="E61" s="10">
        <v>2</v>
      </c>
      <c r="F61">
        <f t="shared" ref="F61:F71" si="6">(B61+D61)/2</f>
        <v>3</v>
      </c>
      <c r="G61">
        <f t="shared" si="4"/>
        <v>1</v>
      </c>
      <c r="H61">
        <v>7</v>
      </c>
      <c r="I61">
        <f t="shared" si="5"/>
        <v>42</v>
      </c>
    </row>
    <row r="62" spans="1:9" x14ac:dyDescent="0.15">
      <c r="A62" s="12" t="s">
        <v>33</v>
      </c>
      <c r="B62" s="10">
        <v>1</v>
      </c>
      <c r="C62" s="10">
        <v>3</v>
      </c>
      <c r="D62" s="10">
        <v>1</v>
      </c>
      <c r="E62" s="10">
        <v>0</v>
      </c>
      <c r="F62">
        <f t="shared" si="6"/>
        <v>1</v>
      </c>
      <c r="G62">
        <v>2</v>
      </c>
      <c r="H62">
        <v>6</v>
      </c>
      <c r="I62">
        <f t="shared" si="5"/>
        <v>36</v>
      </c>
    </row>
    <row r="63" spans="1:9" x14ac:dyDescent="0.15">
      <c r="A63" s="12" t="s">
        <v>34</v>
      </c>
      <c r="B63" s="10">
        <v>0</v>
      </c>
      <c r="C63" s="10">
        <v>0</v>
      </c>
      <c r="D63" s="10">
        <v>0</v>
      </c>
      <c r="E63" s="10">
        <v>0</v>
      </c>
      <c r="F63">
        <f t="shared" si="6"/>
        <v>0</v>
      </c>
      <c r="G63">
        <f t="shared" si="4"/>
        <v>0</v>
      </c>
      <c r="H63">
        <v>6</v>
      </c>
      <c r="I63">
        <f t="shared" si="5"/>
        <v>36</v>
      </c>
    </row>
    <row r="64" spans="1:9" x14ac:dyDescent="0.15">
      <c r="A64" s="12" t="s">
        <v>35</v>
      </c>
      <c r="B64" s="10">
        <v>1</v>
      </c>
      <c r="C64" s="10">
        <v>4</v>
      </c>
      <c r="D64" s="10">
        <v>1</v>
      </c>
      <c r="E64" s="10">
        <v>1</v>
      </c>
      <c r="F64">
        <f t="shared" si="6"/>
        <v>1</v>
      </c>
      <c r="G64">
        <v>3</v>
      </c>
      <c r="H64">
        <v>4</v>
      </c>
      <c r="I64">
        <f t="shared" si="5"/>
        <v>24</v>
      </c>
    </row>
    <row r="65" spans="1:9" x14ac:dyDescent="0.15">
      <c r="A65" s="12" t="s">
        <v>36</v>
      </c>
      <c r="B65" s="10">
        <v>1</v>
      </c>
      <c r="C65" s="10">
        <v>0</v>
      </c>
      <c r="D65" s="10">
        <v>0</v>
      </c>
      <c r="E65" s="10">
        <v>1</v>
      </c>
      <c r="F65">
        <v>1</v>
      </c>
      <c r="G65">
        <v>1</v>
      </c>
      <c r="H65">
        <v>4</v>
      </c>
      <c r="I65">
        <f t="shared" si="5"/>
        <v>24</v>
      </c>
    </row>
    <row r="66" spans="1:9" x14ac:dyDescent="0.15">
      <c r="A66" s="12" t="s">
        <v>37</v>
      </c>
      <c r="B66" s="10">
        <v>2</v>
      </c>
      <c r="C66" s="10">
        <v>2</v>
      </c>
      <c r="D66" s="10">
        <v>2</v>
      </c>
      <c r="E66" s="10">
        <v>0</v>
      </c>
      <c r="F66">
        <f t="shared" si="6"/>
        <v>2</v>
      </c>
      <c r="G66">
        <f t="shared" si="4"/>
        <v>1</v>
      </c>
      <c r="H66">
        <v>5</v>
      </c>
      <c r="I66">
        <f t="shared" si="5"/>
        <v>30</v>
      </c>
    </row>
    <row r="67" spans="1:9" x14ac:dyDescent="0.15">
      <c r="A67" s="12" t="s">
        <v>38</v>
      </c>
      <c r="B67" s="10">
        <v>2</v>
      </c>
      <c r="C67" s="10">
        <v>0</v>
      </c>
      <c r="D67" s="10">
        <v>0</v>
      </c>
      <c r="E67" s="10">
        <v>2</v>
      </c>
      <c r="F67">
        <f t="shared" si="6"/>
        <v>1</v>
      </c>
      <c r="G67">
        <f t="shared" si="4"/>
        <v>1</v>
      </c>
      <c r="H67">
        <v>5</v>
      </c>
      <c r="I67">
        <f t="shared" si="5"/>
        <v>30</v>
      </c>
    </row>
    <row r="68" spans="1:9" x14ac:dyDescent="0.15">
      <c r="A68" s="12" t="s">
        <v>39</v>
      </c>
      <c r="B68" s="10">
        <v>0</v>
      </c>
      <c r="C68" s="10">
        <v>2</v>
      </c>
      <c r="D68" s="10">
        <v>0</v>
      </c>
      <c r="E68" s="10">
        <v>1</v>
      </c>
      <c r="F68">
        <f t="shared" si="6"/>
        <v>0</v>
      </c>
      <c r="G68">
        <v>2</v>
      </c>
      <c r="H68">
        <v>3</v>
      </c>
      <c r="I68">
        <f t="shared" si="5"/>
        <v>18</v>
      </c>
    </row>
    <row r="69" spans="1:9" x14ac:dyDescent="0.15">
      <c r="A69" s="12" t="s">
        <v>40</v>
      </c>
      <c r="B69" s="10">
        <v>0</v>
      </c>
      <c r="C69" s="10">
        <v>0</v>
      </c>
      <c r="D69" s="10">
        <v>0</v>
      </c>
      <c r="E69" s="10">
        <v>1</v>
      </c>
      <c r="F69">
        <f t="shared" si="6"/>
        <v>0</v>
      </c>
      <c r="G69">
        <v>1</v>
      </c>
      <c r="H69">
        <v>2</v>
      </c>
      <c r="I69">
        <f t="shared" si="5"/>
        <v>12</v>
      </c>
    </row>
    <row r="70" spans="1:9" x14ac:dyDescent="0.15">
      <c r="A70" s="12" t="s">
        <v>41</v>
      </c>
      <c r="B70" s="10">
        <v>2</v>
      </c>
      <c r="C70" s="10">
        <v>1</v>
      </c>
      <c r="D70" s="10">
        <v>3</v>
      </c>
      <c r="E70" s="10">
        <v>0</v>
      </c>
      <c r="F70">
        <v>3</v>
      </c>
      <c r="G70">
        <v>1</v>
      </c>
      <c r="H70">
        <v>4</v>
      </c>
      <c r="I70">
        <f t="shared" si="5"/>
        <v>24</v>
      </c>
    </row>
    <row r="71" spans="1:9" x14ac:dyDescent="0.15">
      <c r="A71" s="12" t="s">
        <v>42</v>
      </c>
      <c r="B71" s="10">
        <v>0</v>
      </c>
      <c r="C71" s="10">
        <v>5</v>
      </c>
      <c r="D71" s="10">
        <v>0</v>
      </c>
      <c r="E71" s="10">
        <v>3</v>
      </c>
      <c r="F71">
        <f t="shared" si="6"/>
        <v>0</v>
      </c>
      <c r="G71">
        <f t="shared" si="4"/>
        <v>4</v>
      </c>
      <c r="H71">
        <v>0</v>
      </c>
      <c r="I71">
        <f t="shared" si="5"/>
        <v>0</v>
      </c>
    </row>
    <row r="73" spans="1:9" ht="25.5" x14ac:dyDescent="0.15">
      <c r="A73" t="s">
        <v>45</v>
      </c>
      <c r="B73" s="10" t="s">
        <v>22</v>
      </c>
      <c r="C73" s="10" t="s">
        <v>23</v>
      </c>
      <c r="D73" s="10" t="s">
        <v>22</v>
      </c>
      <c r="E73" s="10" t="s">
        <v>23</v>
      </c>
      <c r="F73" s="11" t="s">
        <v>24</v>
      </c>
      <c r="G73" s="11" t="s">
        <v>25</v>
      </c>
      <c r="H73" s="11" t="s">
        <v>26</v>
      </c>
      <c r="I73" s="11" t="s">
        <v>27</v>
      </c>
    </row>
    <row r="74" spans="1:9" x14ac:dyDescent="0.15">
      <c r="A74" s="10" t="s">
        <v>21</v>
      </c>
    </row>
    <row r="75" spans="1:9" x14ac:dyDescent="0.15">
      <c r="A75" s="12" t="s">
        <v>28</v>
      </c>
      <c r="B75" s="10">
        <v>4</v>
      </c>
      <c r="C75" s="10">
        <v>0</v>
      </c>
      <c r="D75" s="10">
        <v>1</v>
      </c>
      <c r="E75" s="10">
        <v>0</v>
      </c>
      <c r="F75">
        <v>3</v>
      </c>
      <c r="G75">
        <f>(C75+E75)/2</f>
        <v>0</v>
      </c>
      <c r="H75">
        <v>3</v>
      </c>
      <c r="I75">
        <f>H75*6</f>
        <v>18</v>
      </c>
    </row>
    <row r="76" spans="1:9" x14ac:dyDescent="0.15">
      <c r="A76" s="12" t="s">
        <v>29</v>
      </c>
      <c r="B76" s="10">
        <v>0</v>
      </c>
      <c r="C76" s="10">
        <v>1</v>
      </c>
      <c r="D76" s="10">
        <v>0</v>
      </c>
      <c r="E76" s="10">
        <v>1</v>
      </c>
      <c r="F76">
        <f t="shared" ref="F76:F89" si="7">(B76+D76)/2</f>
        <v>0</v>
      </c>
      <c r="G76">
        <f t="shared" ref="G76:G88" si="8">(C76+E76)/2</f>
        <v>1</v>
      </c>
      <c r="H76">
        <v>2</v>
      </c>
      <c r="I76">
        <f t="shared" ref="I76:I89" si="9">H76*6</f>
        <v>12</v>
      </c>
    </row>
    <row r="77" spans="1:9" x14ac:dyDescent="0.15">
      <c r="A77" s="12" t="s">
        <v>30</v>
      </c>
      <c r="B77" s="10">
        <v>3</v>
      </c>
      <c r="C77" s="10">
        <v>0</v>
      </c>
      <c r="D77" s="10">
        <v>1</v>
      </c>
      <c r="E77" s="10">
        <v>0</v>
      </c>
      <c r="F77">
        <f t="shared" si="7"/>
        <v>2</v>
      </c>
      <c r="G77">
        <f t="shared" si="8"/>
        <v>0</v>
      </c>
      <c r="H77">
        <v>4</v>
      </c>
      <c r="I77">
        <f t="shared" si="9"/>
        <v>24</v>
      </c>
    </row>
    <row r="78" spans="1:9" x14ac:dyDescent="0.15">
      <c r="A78" s="12" t="s">
        <v>31</v>
      </c>
      <c r="B78" s="10">
        <v>1</v>
      </c>
      <c r="C78" s="10">
        <v>2</v>
      </c>
      <c r="D78" s="10">
        <v>0</v>
      </c>
      <c r="E78" s="10">
        <v>0</v>
      </c>
      <c r="F78">
        <v>1</v>
      </c>
      <c r="G78">
        <f t="shared" si="8"/>
        <v>1</v>
      </c>
      <c r="H78">
        <v>4</v>
      </c>
      <c r="I78">
        <f t="shared" si="9"/>
        <v>24</v>
      </c>
    </row>
    <row r="79" spans="1:9" x14ac:dyDescent="0.15">
      <c r="A79" s="12" t="s">
        <v>32</v>
      </c>
      <c r="B79" s="10">
        <v>2</v>
      </c>
      <c r="C79" s="10">
        <v>0</v>
      </c>
      <c r="D79" s="10">
        <v>3</v>
      </c>
      <c r="E79" s="10">
        <v>0</v>
      </c>
      <c r="F79">
        <v>3</v>
      </c>
      <c r="G79">
        <f t="shared" si="8"/>
        <v>0</v>
      </c>
      <c r="H79">
        <v>7</v>
      </c>
      <c r="I79">
        <f t="shared" si="9"/>
        <v>42</v>
      </c>
    </row>
    <row r="80" spans="1:9" x14ac:dyDescent="0.15">
      <c r="A80" s="12" t="s">
        <v>33</v>
      </c>
      <c r="B80" s="10">
        <v>4</v>
      </c>
      <c r="C80" s="10">
        <v>1</v>
      </c>
      <c r="D80" s="10">
        <v>2</v>
      </c>
      <c r="E80" s="10">
        <v>1</v>
      </c>
      <c r="F80">
        <v>3</v>
      </c>
      <c r="G80">
        <f t="shared" si="8"/>
        <v>1</v>
      </c>
      <c r="H80">
        <v>9</v>
      </c>
      <c r="I80">
        <f t="shared" si="9"/>
        <v>54</v>
      </c>
    </row>
    <row r="81" spans="1:9" x14ac:dyDescent="0.15">
      <c r="A81" s="12" t="s">
        <v>34</v>
      </c>
      <c r="B81" s="10">
        <v>0</v>
      </c>
      <c r="C81" s="10">
        <v>1</v>
      </c>
      <c r="D81" s="10">
        <v>1</v>
      </c>
      <c r="E81" s="10">
        <v>1</v>
      </c>
      <c r="F81">
        <v>1</v>
      </c>
      <c r="G81">
        <f t="shared" si="8"/>
        <v>1</v>
      </c>
      <c r="H81">
        <v>9</v>
      </c>
      <c r="I81">
        <f t="shared" si="9"/>
        <v>54</v>
      </c>
    </row>
    <row r="82" spans="1:9" x14ac:dyDescent="0.15">
      <c r="A82" s="12" t="s">
        <v>35</v>
      </c>
      <c r="B82" s="10">
        <v>1</v>
      </c>
      <c r="C82" s="10">
        <v>2</v>
      </c>
      <c r="D82" s="10">
        <v>0</v>
      </c>
      <c r="E82" s="10">
        <v>0</v>
      </c>
      <c r="F82">
        <v>1</v>
      </c>
      <c r="G82">
        <f t="shared" si="8"/>
        <v>1</v>
      </c>
      <c r="H82">
        <v>9</v>
      </c>
      <c r="I82">
        <f t="shared" si="9"/>
        <v>54</v>
      </c>
    </row>
    <row r="83" spans="1:9" x14ac:dyDescent="0.15">
      <c r="A83" s="12" t="s">
        <v>36</v>
      </c>
      <c r="B83" s="10">
        <v>2</v>
      </c>
      <c r="C83" s="10">
        <v>4</v>
      </c>
      <c r="D83" s="10">
        <v>2</v>
      </c>
      <c r="E83" s="10">
        <v>2</v>
      </c>
      <c r="F83">
        <f t="shared" si="7"/>
        <v>2</v>
      </c>
      <c r="G83">
        <f t="shared" si="8"/>
        <v>3</v>
      </c>
      <c r="H83">
        <v>8</v>
      </c>
      <c r="I83">
        <f t="shared" si="9"/>
        <v>48</v>
      </c>
    </row>
    <row r="84" spans="1:9" x14ac:dyDescent="0.15">
      <c r="A84" s="12" t="s">
        <v>37</v>
      </c>
      <c r="B84" s="10">
        <v>0</v>
      </c>
      <c r="C84" s="10">
        <v>0</v>
      </c>
      <c r="D84" s="10">
        <v>0</v>
      </c>
      <c r="E84" s="10">
        <v>0</v>
      </c>
      <c r="F84">
        <f t="shared" si="7"/>
        <v>0</v>
      </c>
      <c r="G84">
        <f t="shared" si="8"/>
        <v>0</v>
      </c>
      <c r="H84">
        <v>8</v>
      </c>
      <c r="I84">
        <f t="shared" si="9"/>
        <v>48</v>
      </c>
    </row>
    <row r="85" spans="1:9" x14ac:dyDescent="0.15">
      <c r="A85" s="12" t="s">
        <v>38</v>
      </c>
      <c r="B85" s="10">
        <v>0</v>
      </c>
      <c r="C85" s="10">
        <v>5</v>
      </c>
      <c r="D85" s="10">
        <v>2</v>
      </c>
      <c r="E85" s="10">
        <v>1</v>
      </c>
      <c r="F85">
        <f t="shared" si="7"/>
        <v>1</v>
      </c>
      <c r="G85">
        <f t="shared" si="8"/>
        <v>3</v>
      </c>
      <c r="H85">
        <v>6</v>
      </c>
      <c r="I85">
        <f t="shared" si="9"/>
        <v>36</v>
      </c>
    </row>
    <row r="86" spans="1:9" x14ac:dyDescent="0.15">
      <c r="A86" s="12" t="s">
        <v>39</v>
      </c>
      <c r="B86" s="10">
        <v>5</v>
      </c>
      <c r="C86" s="10">
        <v>3</v>
      </c>
      <c r="D86" s="10">
        <v>0</v>
      </c>
      <c r="E86" s="10">
        <v>5</v>
      </c>
      <c r="F86">
        <v>3</v>
      </c>
      <c r="G86">
        <f t="shared" si="8"/>
        <v>4</v>
      </c>
      <c r="H86">
        <v>5</v>
      </c>
      <c r="I86">
        <f t="shared" si="9"/>
        <v>30</v>
      </c>
    </row>
    <row r="87" spans="1:9" x14ac:dyDescent="0.15">
      <c r="A87" s="12" t="s">
        <v>40</v>
      </c>
      <c r="B87" s="10">
        <v>2</v>
      </c>
      <c r="C87" s="10">
        <v>4</v>
      </c>
      <c r="D87" s="10">
        <v>1</v>
      </c>
      <c r="E87" s="10">
        <v>2</v>
      </c>
      <c r="F87">
        <v>2</v>
      </c>
      <c r="G87">
        <f t="shared" si="8"/>
        <v>3</v>
      </c>
      <c r="H87">
        <v>4</v>
      </c>
      <c r="I87">
        <f t="shared" si="9"/>
        <v>24</v>
      </c>
    </row>
    <row r="88" spans="1:9" x14ac:dyDescent="0.15">
      <c r="A88" s="12" t="s">
        <v>41</v>
      </c>
      <c r="B88" s="10">
        <v>3</v>
      </c>
      <c r="C88" s="10">
        <v>2</v>
      </c>
      <c r="D88" s="10">
        <v>1</v>
      </c>
      <c r="E88" s="10">
        <v>0</v>
      </c>
      <c r="F88">
        <f t="shared" si="7"/>
        <v>2</v>
      </c>
      <c r="G88">
        <f t="shared" si="8"/>
        <v>1</v>
      </c>
      <c r="H88">
        <v>5</v>
      </c>
      <c r="I88">
        <f t="shared" si="9"/>
        <v>30</v>
      </c>
    </row>
    <row r="89" spans="1:9" x14ac:dyDescent="0.15">
      <c r="A89" s="12" t="s">
        <v>42</v>
      </c>
      <c r="B89" s="10">
        <v>0</v>
      </c>
      <c r="C89" s="10">
        <v>2</v>
      </c>
      <c r="D89" s="10">
        <v>0</v>
      </c>
      <c r="E89" s="10">
        <v>1</v>
      </c>
      <c r="F89">
        <f t="shared" si="7"/>
        <v>0</v>
      </c>
      <c r="G89">
        <v>2</v>
      </c>
      <c r="H89">
        <v>0</v>
      </c>
      <c r="I89">
        <f t="shared" si="9"/>
        <v>0</v>
      </c>
    </row>
    <row r="96" spans="1:9" x14ac:dyDescent="0.15">
      <c r="A96" t="s">
        <v>46</v>
      </c>
    </row>
    <row r="97" spans="1:17" ht="25.5" x14ac:dyDescent="0.15">
      <c r="B97" t="s">
        <v>47</v>
      </c>
      <c r="C97" s="2" t="s">
        <v>1</v>
      </c>
      <c r="D97" s="2" t="s">
        <v>2</v>
      </c>
      <c r="E97" s="2" t="s">
        <v>3</v>
      </c>
      <c r="F97" s="2" t="s">
        <v>4</v>
      </c>
      <c r="G97" s="2" t="s">
        <v>5</v>
      </c>
      <c r="H97" s="7" t="s">
        <v>10</v>
      </c>
      <c r="I97" s="7" t="s">
        <v>11</v>
      </c>
      <c r="J97" s="7" t="s">
        <v>12</v>
      </c>
      <c r="K97" s="7" t="s">
        <v>13</v>
      </c>
      <c r="L97" s="7" t="s">
        <v>14</v>
      </c>
      <c r="M97" s="4" t="s">
        <v>15</v>
      </c>
      <c r="N97" s="4" t="s">
        <v>16</v>
      </c>
      <c r="O97" s="4" t="s">
        <v>17</v>
      </c>
      <c r="P97" s="4" t="s">
        <v>18</v>
      </c>
      <c r="Q97" t="s">
        <v>48</v>
      </c>
    </row>
    <row r="98" spans="1:17" x14ac:dyDescent="0.15">
      <c r="A98" s="14"/>
      <c r="B98" t="s">
        <v>49</v>
      </c>
      <c r="C98" s="4">
        <v>11</v>
      </c>
      <c r="D98" s="4">
        <v>6</v>
      </c>
      <c r="E98" s="4">
        <v>6</v>
      </c>
      <c r="F98" s="4">
        <v>6</v>
      </c>
      <c r="G98" s="4">
        <v>6</v>
      </c>
      <c r="H98" s="4">
        <v>7</v>
      </c>
      <c r="I98" s="4">
        <v>6</v>
      </c>
      <c r="J98" s="4">
        <v>6</v>
      </c>
      <c r="K98" s="4">
        <v>6</v>
      </c>
      <c r="L98" s="4">
        <v>6</v>
      </c>
      <c r="M98" s="4">
        <v>10</v>
      </c>
      <c r="N98" s="4">
        <v>5</v>
      </c>
      <c r="O98" s="4">
        <v>5</v>
      </c>
      <c r="P98" s="4">
        <v>5</v>
      </c>
    </row>
    <row r="99" spans="1:17" x14ac:dyDescent="0.15">
      <c r="A99" t="s">
        <v>50</v>
      </c>
      <c r="B99">
        <v>1</v>
      </c>
      <c r="Q99">
        <v>2.5</v>
      </c>
    </row>
    <row r="100" spans="1:17" x14ac:dyDescent="0.15">
      <c r="B100">
        <v>2</v>
      </c>
      <c r="Q100">
        <v>2.5</v>
      </c>
    </row>
    <row r="101" spans="1:17" x14ac:dyDescent="0.15">
      <c r="B101">
        <v>3</v>
      </c>
      <c r="Q101">
        <v>2.5</v>
      </c>
    </row>
    <row r="102" spans="1:17" x14ac:dyDescent="0.15">
      <c r="B102">
        <v>4</v>
      </c>
      <c r="Q102">
        <v>2.5</v>
      </c>
    </row>
    <row r="103" spans="1:17" x14ac:dyDescent="0.15">
      <c r="B103">
        <v>5</v>
      </c>
      <c r="Q103">
        <v>2.5</v>
      </c>
    </row>
    <row r="104" spans="1:17" x14ac:dyDescent="0.15">
      <c r="B104">
        <v>6</v>
      </c>
      <c r="Q104">
        <v>2</v>
      </c>
    </row>
    <row r="105" spans="1:17" x14ac:dyDescent="0.15">
      <c r="B105">
        <v>7</v>
      </c>
      <c r="Q105">
        <v>2</v>
      </c>
    </row>
    <row r="106" spans="1:17" x14ac:dyDescent="0.15">
      <c r="B106">
        <v>8</v>
      </c>
      <c r="Q106">
        <v>1</v>
      </c>
    </row>
    <row r="107" spans="1:17" x14ac:dyDescent="0.15">
      <c r="B107">
        <v>9</v>
      </c>
      <c r="Q107">
        <v>0.5</v>
      </c>
    </row>
    <row r="108" spans="1:17" x14ac:dyDescent="0.15">
      <c r="B108">
        <v>10</v>
      </c>
      <c r="Q108">
        <v>0.5</v>
      </c>
    </row>
    <row r="109" spans="1:17" x14ac:dyDescent="0.15">
      <c r="B109">
        <v>11</v>
      </c>
      <c r="Q109">
        <v>0.5</v>
      </c>
    </row>
  </sheetData>
  <phoneticPr fontId="6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13485057537</dc:creator>
  <cp:lastModifiedBy>佳恒 孙</cp:lastModifiedBy>
  <dcterms:created xsi:type="dcterms:W3CDTF">2026-04-25T09:52:05Z</dcterms:created>
  <dcterms:modified xsi:type="dcterms:W3CDTF">2026-04-26T08:04:11Z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CEAC5DFA0EF04A59A0F17DDE5D05F772_11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